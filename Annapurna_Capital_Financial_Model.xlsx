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Projects\Project 9 - Startup Valuation and Presentation\"/>
    </mc:Choice>
  </mc:AlternateContent>
  <xr:revisionPtr revIDLastSave="0" documentId="13_ncr:1_{FD73016D-B237-4DAA-B5E6-B354C7376B4D}" xr6:coauthVersionLast="47" xr6:coauthVersionMax="47" xr10:uidLastSave="{00000000-0000-0000-0000-000000000000}"/>
  <bookViews>
    <workbookView xWindow="-108" yWindow="-108" windowWidth="23256" windowHeight="12456" tabRatio="872" firstSheet="3" activeTab="10" xr2:uid="{00000000-000D-0000-FFFF-FFFF00000000}"/>
  </bookViews>
  <sheets>
    <sheet name="Cover" sheetId="1" r:id="rId1"/>
    <sheet name="Assumptions" sheetId="2" r:id="rId2"/>
    <sheet name="Revenue Build" sheetId="3" r:id="rId3"/>
    <sheet name="Income Statement" sheetId="4" r:id="rId4"/>
    <sheet name="Depreciation Schedule" sheetId="12" r:id="rId5"/>
    <sheet name="Loan Schedule" sheetId="10" r:id="rId6"/>
    <sheet name="Working Capital Schedule" sheetId="11" r:id="rId7"/>
    <sheet name="Balance Sheet" sheetId="5" r:id="rId8"/>
    <sheet name="Cash Flow" sheetId="6" r:id="rId9"/>
    <sheet name="WACC" sheetId="13" r:id="rId10"/>
    <sheet name="Valuation" sheetId="7" r:id="rId11"/>
    <sheet name="Cap Table" sheetId="8" r:id="rId12"/>
    <sheet name="TAM SAM SOM" sheetId="9" r:id="rId13"/>
  </sheets>
  <calcPr calcId="181029"/>
</workbook>
</file>

<file path=xl/calcChain.xml><?xml version="1.0" encoding="utf-8"?>
<calcChain xmlns="http://schemas.openxmlformats.org/spreadsheetml/2006/main">
  <c r="C43" i="7" l="1"/>
  <c r="F87" i="2" s="1"/>
  <c r="B47" i="7"/>
  <c r="B48" i="7"/>
  <c r="A65" i="7"/>
  <c r="A64" i="7"/>
  <c r="A63" i="7"/>
  <c r="A62" i="7"/>
  <c r="A61" i="7"/>
  <c r="A60" i="7"/>
  <c r="A59" i="7"/>
  <c r="A58" i="7"/>
  <c r="A57" i="7"/>
  <c r="C93" i="7"/>
  <c r="D93" i="7"/>
  <c r="E93" i="7"/>
  <c r="F93" i="7"/>
  <c r="C94" i="7"/>
  <c r="D94" i="7"/>
  <c r="E94" i="7"/>
  <c r="F94" i="7"/>
  <c r="B94" i="7"/>
  <c r="B93" i="7"/>
  <c r="C89" i="7"/>
  <c r="D89" i="7"/>
  <c r="E89" i="7"/>
  <c r="F89" i="7"/>
  <c r="B89" i="7"/>
  <c r="C88" i="7"/>
  <c r="D88" i="7"/>
  <c r="E88" i="7"/>
  <c r="F88" i="7"/>
  <c r="B88" i="7"/>
  <c r="C84" i="7"/>
  <c r="D84" i="7"/>
  <c r="E84" i="7"/>
  <c r="F84" i="7"/>
  <c r="B84" i="7"/>
  <c r="C83" i="7"/>
  <c r="D83" i="7"/>
  <c r="E83" i="7"/>
  <c r="F83" i="7"/>
  <c r="B83" i="7"/>
  <c r="C79" i="7"/>
  <c r="D79" i="7"/>
  <c r="E79" i="7"/>
  <c r="F79" i="7"/>
  <c r="B79" i="7"/>
  <c r="C78" i="7"/>
  <c r="D78" i="7"/>
  <c r="E78" i="7"/>
  <c r="F78" i="7"/>
  <c r="B78" i="7"/>
  <c r="C74" i="7"/>
  <c r="D74" i="7"/>
  <c r="E74" i="7"/>
  <c r="F74" i="7"/>
  <c r="B74" i="7"/>
  <c r="C73" i="7"/>
  <c r="D73" i="7"/>
  <c r="E73" i="7"/>
  <c r="F73" i="7"/>
  <c r="B73" i="7"/>
  <c r="B21" i="8"/>
  <c r="B29" i="7"/>
  <c r="H87" i="2" l="1"/>
  <c r="I74" i="2"/>
  <c r="E75" i="2"/>
  <c r="F75" i="2"/>
  <c r="G81" i="2"/>
  <c r="H82" i="2"/>
  <c r="I87" i="2"/>
  <c r="H74" i="2"/>
  <c r="I75" i="2"/>
  <c r="E81" i="2"/>
  <c r="F81" i="2"/>
  <c r="G82" i="2"/>
  <c r="G74" i="2"/>
  <c r="H75" i="2"/>
  <c r="I81" i="2"/>
  <c r="E82" i="2"/>
  <c r="F82" i="2"/>
  <c r="G87" i="2"/>
  <c r="E74" i="2"/>
  <c r="F74" i="2"/>
  <c r="G75" i="2"/>
  <c r="H81" i="2"/>
  <c r="I82" i="2"/>
  <c r="E87" i="2"/>
  <c r="D14" i="8"/>
  <c r="F34" i="7"/>
  <c r="G34" i="7" s="1"/>
  <c r="D34" i="7"/>
  <c r="C34" i="7" s="1"/>
  <c r="B23" i="8"/>
  <c r="B25" i="8" s="1"/>
  <c r="B22" i="8"/>
  <c r="E14" i="8"/>
  <c r="E7" i="8"/>
  <c r="E8" i="8"/>
  <c r="E9" i="8"/>
  <c r="E10" i="8"/>
  <c r="E11" i="8"/>
  <c r="E12" i="8"/>
  <c r="E13" i="8"/>
  <c r="E6" i="8"/>
  <c r="C16" i="8"/>
  <c r="B7" i="8"/>
  <c r="B8" i="8"/>
  <c r="B9" i="8"/>
  <c r="B10" i="8"/>
  <c r="B11" i="8"/>
  <c r="B12" i="8"/>
  <c r="B13" i="8"/>
  <c r="B6" i="8"/>
  <c r="B16" i="8" s="1"/>
  <c r="B11" i="7"/>
  <c r="C8" i="7"/>
  <c r="D8" i="7"/>
  <c r="E8" i="7"/>
  <c r="F8" i="7"/>
  <c r="B8" i="7"/>
  <c r="E9" i="13"/>
  <c r="E6" i="13"/>
  <c r="F6" i="13" s="1"/>
  <c r="E5" i="13"/>
  <c r="E7" i="13"/>
  <c r="E8" i="13"/>
  <c r="D8" i="13"/>
  <c r="D7" i="13"/>
  <c r="B15" i="13"/>
  <c r="B7" i="13"/>
  <c r="D15" i="8" l="1"/>
  <c r="E15" i="8"/>
  <c r="F5" i="13"/>
  <c r="B14" i="6"/>
  <c r="C8" i="6"/>
  <c r="C20" i="6" s="1"/>
  <c r="D8" i="6"/>
  <c r="D20" i="6" s="1"/>
  <c r="E8" i="6"/>
  <c r="E9" i="6" s="1"/>
  <c r="F8" i="6"/>
  <c r="F9" i="6" s="1"/>
  <c r="B8" i="6"/>
  <c r="B9" i="6" s="1"/>
  <c r="B10" i="6"/>
  <c r="D5" i="10"/>
  <c r="D8" i="10" s="1"/>
  <c r="B19" i="5"/>
  <c r="C19" i="5" s="1"/>
  <c r="C6" i="12"/>
  <c r="D6" i="12"/>
  <c r="E6" i="12"/>
  <c r="F6" i="12"/>
  <c r="B6" i="12"/>
  <c r="B5" i="12"/>
  <c r="C7" i="10"/>
  <c r="D7" i="10"/>
  <c r="E5" i="10" s="1"/>
  <c r="E7" i="10"/>
  <c r="E15" i="5" s="1"/>
  <c r="F7" i="10"/>
  <c r="F15" i="5" s="1"/>
  <c r="B7" i="10"/>
  <c r="C5" i="10" s="1"/>
  <c r="C8" i="10" s="1"/>
  <c r="B5" i="10"/>
  <c r="B8" i="10" s="1"/>
  <c r="C21" i="3"/>
  <c r="D21" i="3"/>
  <c r="E21" i="3"/>
  <c r="F21" i="3"/>
  <c r="B21" i="3"/>
  <c r="C20" i="3"/>
  <c r="D20" i="3"/>
  <c r="E20" i="3"/>
  <c r="F20" i="3"/>
  <c r="B20" i="3"/>
  <c r="C16" i="3"/>
  <c r="D16" i="3"/>
  <c r="E16" i="3"/>
  <c r="F16" i="3"/>
  <c r="B16" i="3"/>
  <c r="C15" i="3"/>
  <c r="D15" i="3"/>
  <c r="D17" i="3" s="1"/>
  <c r="D27" i="3" s="1"/>
  <c r="D6" i="4" s="1"/>
  <c r="E15" i="3"/>
  <c r="F15" i="3"/>
  <c r="F17" i="3" s="1"/>
  <c r="F27" i="3" s="1"/>
  <c r="F6" i="4" s="1"/>
  <c r="B15" i="3"/>
  <c r="E12" i="3"/>
  <c r="E26" i="3" s="1"/>
  <c r="E5" i="4" s="1"/>
  <c r="C10" i="3"/>
  <c r="D10" i="3"/>
  <c r="E10" i="3"/>
  <c r="F10" i="3"/>
  <c r="C11" i="3"/>
  <c r="D11" i="3"/>
  <c r="E11" i="3"/>
  <c r="F11" i="3"/>
  <c r="B11" i="3"/>
  <c r="B10" i="3"/>
  <c r="B12" i="3" s="1"/>
  <c r="B26" i="3" s="1"/>
  <c r="B5" i="4" s="1"/>
  <c r="C6" i="3"/>
  <c r="D6" i="3"/>
  <c r="E6" i="3"/>
  <c r="F6" i="3"/>
  <c r="B6" i="3"/>
  <c r="C5" i="3"/>
  <c r="D5" i="3"/>
  <c r="E5" i="3"/>
  <c r="F5" i="3"/>
  <c r="B5" i="3"/>
  <c r="B7" i="12" l="1"/>
  <c r="B8" i="12" s="1"/>
  <c r="C9" i="6"/>
  <c r="D9" i="6"/>
  <c r="D7" i="3"/>
  <c r="D25" i="3" s="1"/>
  <c r="D4" i="4" s="1"/>
  <c r="C22" i="3"/>
  <c r="C28" i="3" s="1"/>
  <c r="C7" i="4" s="1"/>
  <c r="B20" i="6"/>
  <c r="F20" i="6"/>
  <c r="E20" i="6"/>
  <c r="B22" i="3"/>
  <c r="B28" i="3" s="1"/>
  <c r="B7" i="4" s="1"/>
  <c r="E16" i="8"/>
  <c r="E8" i="10"/>
  <c r="E6" i="10"/>
  <c r="E11" i="6" s="1"/>
  <c r="E12" i="6" s="1"/>
  <c r="C6" i="10"/>
  <c r="C11" i="6" s="1"/>
  <c r="C12" i="6" s="1"/>
  <c r="B6" i="10"/>
  <c r="B11" i="6" s="1"/>
  <c r="B12" i="6" s="1"/>
  <c r="D15" i="5"/>
  <c r="B15" i="5"/>
  <c r="C15" i="5"/>
  <c r="D6" i="10"/>
  <c r="D11" i="6" s="1"/>
  <c r="D12" i="6" s="1"/>
  <c r="F5" i="10"/>
  <c r="F7" i="3"/>
  <c r="F25" i="3" s="1"/>
  <c r="F4" i="4" s="1"/>
  <c r="E22" i="3"/>
  <c r="E28" i="3" s="1"/>
  <c r="E7" i="4" s="1"/>
  <c r="D19" i="5"/>
  <c r="F12" i="3"/>
  <c r="F26" i="3" s="1"/>
  <c r="F5" i="4" s="1"/>
  <c r="E7" i="3"/>
  <c r="E25" i="3" s="1"/>
  <c r="E4" i="4" s="1"/>
  <c r="D12" i="3"/>
  <c r="D26" i="3" s="1"/>
  <c r="D5" i="4" s="1"/>
  <c r="B17" i="3"/>
  <c r="B27" i="3" s="1"/>
  <c r="B6" i="4" s="1"/>
  <c r="C17" i="3"/>
  <c r="C27" i="3" s="1"/>
  <c r="C6" i="4" s="1"/>
  <c r="F22" i="3"/>
  <c r="F28" i="3" s="1"/>
  <c r="F7" i="4" s="1"/>
  <c r="B7" i="3"/>
  <c r="B25" i="3" s="1"/>
  <c r="B4" i="4" s="1"/>
  <c r="C7" i="3"/>
  <c r="C25" i="3" s="1"/>
  <c r="C4" i="4" s="1"/>
  <c r="C12" i="3"/>
  <c r="C26" i="3" s="1"/>
  <c r="C5" i="4" s="1"/>
  <c r="E17" i="3"/>
  <c r="E27" i="3" s="1"/>
  <c r="E6" i="4" s="1"/>
  <c r="D22" i="3"/>
  <c r="D28" i="3" s="1"/>
  <c r="D7" i="4" s="1"/>
  <c r="B9" i="10"/>
  <c r="B21" i="4" s="1"/>
  <c r="B5" i="6" l="1"/>
  <c r="B19" i="6" s="1"/>
  <c r="B19" i="4"/>
  <c r="B9" i="12"/>
  <c r="B9" i="5" s="1"/>
  <c r="F29" i="3"/>
  <c r="E8" i="4"/>
  <c r="F8" i="4"/>
  <c r="E29" i="3"/>
  <c r="C8" i="4"/>
  <c r="F9" i="8"/>
  <c r="F7" i="8"/>
  <c r="F11" i="8"/>
  <c r="F12" i="8"/>
  <c r="F6" i="8"/>
  <c r="F13" i="8"/>
  <c r="F10" i="8"/>
  <c r="F14" i="8"/>
  <c r="F8" i="8"/>
  <c r="F15" i="8"/>
  <c r="C29" i="3"/>
  <c r="F6" i="10"/>
  <c r="F11" i="6" s="1"/>
  <c r="F12" i="6" s="1"/>
  <c r="F8" i="10"/>
  <c r="B8" i="4"/>
  <c r="D8" i="4"/>
  <c r="E19" i="5"/>
  <c r="D29" i="3"/>
  <c r="B29" i="3"/>
  <c r="C9" i="10"/>
  <c r="C21" i="4" s="1"/>
  <c r="C5" i="12" l="1"/>
  <c r="C7" i="12" s="1"/>
  <c r="C8" i="12" s="1"/>
  <c r="B7" i="11"/>
  <c r="B13" i="5" s="1"/>
  <c r="B57" i="7"/>
  <c r="E22" i="7"/>
  <c r="F22" i="7" s="1"/>
  <c r="G22" i="7" s="1"/>
  <c r="F57" i="7"/>
  <c r="E10" i="4"/>
  <c r="E58" i="7" s="1"/>
  <c r="E57" i="7"/>
  <c r="C14" i="4"/>
  <c r="C57" i="7"/>
  <c r="D13" i="4"/>
  <c r="D57" i="7"/>
  <c r="F6" i="11"/>
  <c r="F7" i="5" s="1"/>
  <c r="E6" i="11"/>
  <c r="E7" i="5" s="1"/>
  <c r="F15" i="4"/>
  <c r="E13" i="4"/>
  <c r="C12" i="4"/>
  <c r="C13" i="4"/>
  <c r="E7" i="11"/>
  <c r="E13" i="5" s="1"/>
  <c r="E14" i="4"/>
  <c r="E12" i="4"/>
  <c r="E5" i="11"/>
  <c r="E15" i="4"/>
  <c r="E14" i="5"/>
  <c r="E8" i="11" s="1"/>
  <c r="F10" i="4"/>
  <c r="F5" i="11"/>
  <c r="F6" i="5" s="1"/>
  <c r="F13" i="4"/>
  <c r="F12" i="4"/>
  <c r="F14" i="5"/>
  <c r="F8" i="11" s="1"/>
  <c r="C15" i="4"/>
  <c r="C7" i="11"/>
  <c r="C13" i="5" s="1"/>
  <c r="C10" i="4"/>
  <c r="D7" i="11"/>
  <c r="D13" i="5" s="1"/>
  <c r="F7" i="11"/>
  <c r="F13" i="5" s="1"/>
  <c r="F14" i="4"/>
  <c r="C5" i="11"/>
  <c r="C6" i="5" s="1"/>
  <c r="D12" i="4"/>
  <c r="D15" i="4"/>
  <c r="D14" i="4"/>
  <c r="D10" i="4"/>
  <c r="D5" i="11"/>
  <c r="D6" i="5" s="1"/>
  <c r="D6" i="11"/>
  <c r="D7" i="5" s="1"/>
  <c r="D14" i="5"/>
  <c r="D8" i="11" s="1"/>
  <c r="C6" i="11"/>
  <c r="C7" i="5" s="1"/>
  <c r="C14" i="5"/>
  <c r="C8" i="11" s="1"/>
  <c r="B6" i="11"/>
  <c r="B7" i="5" s="1"/>
  <c r="B14" i="5"/>
  <c r="B8" i="11" s="1"/>
  <c r="B15" i="4"/>
  <c r="F16" i="8"/>
  <c r="B13" i="4"/>
  <c r="B5" i="11"/>
  <c r="B12" i="4"/>
  <c r="B10" i="4"/>
  <c r="B14" i="4"/>
  <c r="F19" i="5"/>
  <c r="D9" i="10"/>
  <c r="D21" i="4" s="1"/>
  <c r="C5" i="6" l="1"/>
  <c r="C19" i="6" s="1"/>
  <c r="C19" i="4"/>
  <c r="E9" i="4"/>
  <c r="E11" i="4"/>
  <c r="C9" i="12"/>
  <c r="E23" i="7"/>
  <c r="F23" i="7" s="1"/>
  <c r="G23" i="7" s="1"/>
  <c r="B51" i="7" s="1"/>
  <c r="B11" i="4"/>
  <c r="B58" i="7"/>
  <c r="F9" i="4"/>
  <c r="F58" i="7"/>
  <c r="D11" i="4"/>
  <c r="D58" i="7"/>
  <c r="C9" i="4"/>
  <c r="C58" i="7"/>
  <c r="E16" i="5"/>
  <c r="B50" i="7"/>
  <c r="E16" i="4"/>
  <c r="E17" i="4" s="1"/>
  <c r="C16" i="4"/>
  <c r="C17" i="4" s="1"/>
  <c r="F11" i="4"/>
  <c r="E9" i="11"/>
  <c r="E62" i="7" s="1"/>
  <c r="E6" i="5"/>
  <c r="F9" i="11"/>
  <c r="F62" i="7" s="1"/>
  <c r="F16" i="4"/>
  <c r="F17" i="4" s="1"/>
  <c r="F16" i="5"/>
  <c r="D16" i="4"/>
  <c r="D17" i="4" s="1"/>
  <c r="D9" i="4"/>
  <c r="C11" i="4"/>
  <c r="C9" i="11"/>
  <c r="C62" i="7" s="1"/>
  <c r="D9" i="11"/>
  <c r="D62" i="7" s="1"/>
  <c r="D16" i="5"/>
  <c r="C16" i="5"/>
  <c r="B16" i="5"/>
  <c r="B16" i="4"/>
  <c r="B17" i="4" s="1"/>
  <c r="B9" i="11"/>
  <c r="B6" i="5"/>
  <c r="B9" i="4"/>
  <c r="E9" i="10"/>
  <c r="E21" i="4" s="1"/>
  <c r="C9" i="5" l="1"/>
  <c r="D5" i="12"/>
  <c r="B10" i="11"/>
  <c r="B6" i="6" s="1"/>
  <c r="B21" i="6" s="1"/>
  <c r="B62" i="7"/>
  <c r="F18" i="4"/>
  <c r="F59" i="7"/>
  <c r="B18" i="4"/>
  <c r="B59" i="7"/>
  <c r="D18" i="4"/>
  <c r="D59" i="7"/>
  <c r="E18" i="4"/>
  <c r="E59" i="7"/>
  <c r="C18" i="4"/>
  <c r="C59" i="7"/>
  <c r="D10" i="11"/>
  <c r="D6" i="6" s="1"/>
  <c r="D21" i="6" s="1"/>
  <c r="F10" i="11"/>
  <c r="F6" i="6" s="1"/>
  <c r="F21" i="6" s="1"/>
  <c r="E10" i="11"/>
  <c r="E6" i="6" s="1"/>
  <c r="E21" i="6" s="1"/>
  <c r="C20" i="4"/>
  <c r="C22" i="4" s="1"/>
  <c r="C23" i="4" s="1"/>
  <c r="C24" i="4" s="1"/>
  <c r="C60" i="7" s="1"/>
  <c r="B20" i="4"/>
  <c r="B22" i="4" s="1"/>
  <c r="B23" i="4" s="1"/>
  <c r="B24" i="4" s="1"/>
  <c r="B60" i="7" s="1"/>
  <c r="C10" i="11"/>
  <c r="C6" i="6" s="1"/>
  <c r="C21" i="6" s="1"/>
  <c r="F9" i="10"/>
  <c r="F21" i="4" s="1"/>
  <c r="D7" i="12" l="1"/>
  <c r="D8" i="12" s="1"/>
  <c r="C18" i="6"/>
  <c r="C22" i="6" s="1"/>
  <c r="B18" i="6"/>
  <c r="B22" i="6" s="1"/>
  <c r="C4" i="6"/>
  <c r="C7" i="6" s="1"/>
  <c r="B4" i="6"/>
  <c r="B7" i="6" s="1"/>
  <c r="B20" i="5"/>
  <c r="D9" i="12" l="1"/>
  <c r="D19" i="4"/>
  <c r="D20" i="4" s="1"/>
  <c r="D5" i="6"/>
  <c r="D19" i="6" s="1"/>
  <c r="E5" i="12"/>
  <c r="D9" i="5"/>
  <c r="B7" i="7"/>
  <c r="B9" i="7" s="1"/>
  <c r="B65" i="7"/>
  <c r="B13" i="6"/>
  <c r="B15" i="6" s="1"/>
  <c r="C14" i="6" s="1"/>
  <c r="B64" i="7"/>
  <c r="C7" i="7"/>
  <c r="C9" i="7" s="1"/>
  <c r="C65" i="7"/>
  <c r="C13" i="6"/>
  <c r="C64" i="7"/>
  <c r="B21" i="5"/>
  <c r="C20" i="5"/>
  <c r="D22" i="4" l="1"/>
  <c r="D23" i="4" s="1"/>
  <c r="D24" i="4" s="1"/>
  <c r="D18" i="6"/>
  <c r="D22" i="6" s="1"/>
  <c r="E7" i="12"/>
  <c r="E8" i="12" s="1"/>
  <c r="B5" i="5"/>
  <c r="B8" i="5" s="1"/>
  <c r="B10" i="5" s="1"/>
  <c r="C15" i="6"/>
  <c r="D14" i="6" s="1"/>
  <c r="B22" i="5"/>
  <c r="B61" i="7"/>
  <c r="D20" i="5"/>
  <c r="C21" i="5"/>
  <c r="E9" i="12" l="1"/>
  <c r="E19" i="4"/>
  <c r="E20" i="4" s="1"/>
  <c r="D65" i="7"/>
  <c r="D7" i="7"/>
  <c r="D9" i="7" s="1"/>
  <c r="D60" i="7"/>
  <c r="D4" i="6"/>
  <c r="D7" i="6" s="1"/>
  <c r="E5" i="6"/>
  <c r="E19" i="6" s="1"/>
  <c r="B23" i="5"/>
  <c r="B63" i="7"/>
  <c r="C5" i="5"/>
  <c r="C63" i="7" s="1"/>
  <c r="F5" i="12"/>
  <c r="E9" i="5"/>
  <c r="C22" i="5"/>
  <c r="C61" i="7"/>
  <c r="D21" i="5"/>
  <c r="D13" i="6" l="1"/>
  <c r="D15" i="6" s="1"/>
  <c r="D64" i="7"/>
  <c r="E18" i="6"/>
  <c r="E22" i="6" s="1"/>
  <c r="E22" i="4"/>
  <c r="E23" i="4" s="1"/>
  <c r="E24" i="4" s="1"/>
  <c r="C8" i="5"/>
  <c r="C10" i="5" s="1"/>
  <c r="C23" i="5" s="1"/>
  <c r="F7" i="12"/>
  <c r="F8" i="12" s="1"/>
  <c r="D22" i="5"/>
  <c r="D61" i="7"/>
  <c r="E65" i="7" l="1"/>
  <c r="E7" i="7"/>
  <c r="E9" i="7" s="1"/>
  <c r="E60" i="7"/>
  <c r="E4" i="6"/>
  <c r="E7" i="6" s="1"/>
  <c r="E20" i="5"/>
  <c r="F9" i="12"/>
  <c r="F9" i="5" s="1"/>
  <c r="F19" i="4"/>
  <c r="F20" i="4" s="1"/>
  <c r="D5" i="5"/>
  <c r="E14" i="6"/>
  <c r="F5" i="6"/>
  <c r="F19" i="6"/>
  <c r="D8" i="5" l="1"/>
  <c r="D10" i="5" s="1"/>
  <c r="D23" i="5" s="1"/>
  <c r="D63" i="7"/>
  <c r="E64" i="7"/>
  <c r="E13" i="6"/>
  <c r="E15" i="6" s="1"/>
  <c r="F18" i="6"/>
  <c r="F22" i="6" s="1"/>
  <c r="F7" i="7" s="1"/>
  <c r="F22" i="4"/>
  <c r="F23" i="4" s="1"/>
  <c r="F24" i="4" s="1"/>
  <c r="F20" i="5" s="1"/>
  <c r="F21" i="5" s="1"/>
  <c r="E21" i="5"/>
  <c r="F65" i="7" l="1"/>
  <c r="F14" i="6"/>
  <c r="E5" i="5"/>
  <c r="E22" i="5"/>
  <c r="E61" i="7"/>
  <c r="F60" i="7"/>
  <c r="F4" i="6"/>
  <c r="F7" i="6" s="1"/>
  <c r="F22" i="5"/>
  <c r="F61" i="7"/>
  <c r="F9" i="7"/>
  <c r="B15" i="7" s="1"/>
  <c r="B45" i="7" s="1"/>
  <c r="B13" i="7"/>
  <c r="B14" i="7" s="1"/>
  <c r="B44" i="7" s="1"/>
  <c r="E63" i="7" l="1"/>
  <c r="E8" i="5"/>
  <c r="E10" i="5" s="1"/>
  <c r="E23" i="5" s="1"/>
  <c r="F13" i="6"/>
  <c r="F15" i="6" s="1"/>
  <c r="F5" i="5" s="1"/>
  <c r="F64" i="7"/>
  <c r="B16" i="7"/>
  <c r="F63" i="7" l="1"/>
  <c r="F8" i="5"/>
  <c r="F10" i="5" s="1"/>
  <c r="F23" i="5" s="1"/>
  <c r="B17" i="7"/>
  <c r="B46" i="7"/>
  <c r="B18" i="7"/>
  <c r="B26" i="7" s="1"/>
  <c r="B34" i="7" l="1"/>
  <c r="B49" i="7"/>
  <c r="B52" i="7" s="1"/>
  <c r="B27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Course Professor</author>
  </authors>
  <commentList>
    <comment ref="B88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Simplified approach: prior-year D&amp;A + 10% of that year's new capex. You may build a more precise schedule.</t>
        </r>
      </text>
    </comment>
    <comment ref="E96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Assumed to close at the start of FY27.</t>
        </r>
      </text>
    </comment>
    <comment ref="B101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This is directional context beyond the FY31 forecast horizon, not a target the 5-year model is built to hit.</t>
        </r>
      </text>
    </comment>
  </commentList>
</comments>
</file>

<file path=xl/sharedStrings.xml><?xml version="1.0" encoding="utf-8"?>
<sst xmlns="http://schemas.openxmlformats.org/spreadsheetml/2006/main" count="437" uniqueCount="304">
  <si>
    <t>Annapurna Capital Technologies Pvt. Ltd.</t>
  </si>
  <si>
    <t>Series B Financial Model — Assignment Workbook</t>
  </si>
  <si>
    <t>How to use this workbook</t>
  </si>
  <si>
    <t>•  The Assumptions tab is fully filled in with every given fact from the case — historical actuals (FY24–FY26), management's forward guidance (FY27E–FY31E), operational KPIs, unit economics, market sizing, funding history, and the current cap table.</t>
  </si>
  <si>
    <t>•  Every other tab is blank, formatted, and labeled to match the case exactly — column headers, row labels, number formats, and yellow-filled cells are already in place. You build the numbers and formulas.</t>
  </si>
  <si>
    <t>•  Reference the Assumptions tab from formulas in other tabs rather than retyping a number (e.g. =Assumptions!E12) — if a driver changes, you want it to flow through everywhere automatically.</t>
  </si>
  <si>
    <t>•  All figures are in ₹ Lakhs (L) unless a row label says ₹ Crore (Cr). 1 Cr = 100 L.</t>
  </si>
  <si>
    <t>•  FY24–FY26 are given actuals. FY27E–FY31E are the forecast years you are building.</t>
  </si>
  <si>
    <t>Tabs in this workbook</t>
  </si>
  <si>
    <t>Assumptions  —  Every input from the case, filled in.</t>
  </si>
  <si>
    <t>Revenue Build  —  Task 1 — build the four-line revenue forecast.</t>
  </si>
  <si>
    <t>Income Statement  —  Task 2 — full P&amp;L, FY24 actual through FY31E.</t>
  </si>
  <si>
    <t>Balance Sheet  —  Task 2 — full balance sheet, FY24 actual through FY31E.</t>
  </si>
  <si>
    <t>Cash Flow  —  Task 2 — full cash flow statement, FY24 actual through FY31E.</t>
  </si>
  <si>
    <t>Valuation  —  Task 3 — DCF and comparable-company analysis.</t>
  </si>
  <si>
    <t>Cap Table  —  Task 3 — post-Series B pro-forma ownership.</t>
  </si>
  <si>
    <t>TAM SAM SOM  —  Task 4 — your independent market-sizing rebuild.</t>
  </si>
  <si>
    <t>ASSUMPTIONS — every given fact from the case</t>
  </si>
  <si>
    <t>₹ in Lakhs unless noted</t>
  </si>
  <si>
    <t>FY24</t>
  </si>
  <si>
    <t>FY25</t>
  </si>
  <si>
    <t>FY26</t>
  </si>
  <si>
    <t>FY27E</t>
  </si>
  <si>
    <t>FY28E</t>
  </si>
  <si>
    <t>FY29E</t>
  </si>
  <si>
    <t>FY30E</t>
  </si>
  <si>
    <t>FY31E</t>
  </si>
  <si>
    <t>HISTORICAL INCOME STATEMENT (₹ L) — FY24-FY26 actual</t>
  </si>
  <si>
    <t>Financing Facilitation Commission</t>
  </si>
  <si>
    <t>Warehouse SaaS/IoT Subscription Fee</t>
  </si>
  <si>
    <t>Marketplace Transaction Fee</t>
  </si>
  <si>
    <t>Storage Fee Revenue</t>
  </si>
  <si>
    <t>Total Revenue</t>
  </si>
  <si>
    <t>Cost of Revenue</t>
  </si>
  <si>
    <t>Gross Profit</t>
  </si>
  <si>
    <t>Gross Margin %</t>
  </si>
  <si>
    <t>Warehouse Ops &amp; Field Team</t>
  </si>
  <si>
    <t>Sales &amp; Marketing</t>
  </si>
  <si>
    <t>Technology &amp; Product (R&amp;D)</t>
  </si>
  <si>
    <t>General &amp; Administrative</t>
  </si>
  <si>
    <t>EBITDA</t>
  </si>
  <si>
    <t>EBITDA Margin %</t>
  </si>
  <si>
    <t>Depreciation &amp; Amortization</t>
  </si>
  <si>
    <t>EBIT</t>
  </si>
  <si>
    <t>Interest Expense</t>
  </si>
  <si>
    <t>Net Income (Loss)</t>
  </si>
  <si>
    <t>HISTORICAL BALANCE SHEET (₹ L, year-end) — FY24-FY26 actual</t>
  </si>
  <si>
    <t>Cash &amp; Equivalents</t>
  </si>
  <si>
    <t>Accounts Receivable</t>
  </si>
  <si>
    <t>Prepaid Expenses / Inventory</t>
  </si>
  <si>
    <t>Total Current Assets</t>
  </si>
  <si>
    <t>PP&amp;E &amp; Warehouse Structures (net)</t>
  </si>
  <si>
    <t>Total Assets</t>
  </si>
  <si>
    <t>Accounts Payable</t>
  </si>
  <si>
    <t>Accrued Payroll</t>
  </si>
  <si>
    <t>Short-term Working Capital Loan</t>
  </si>
  <si>
    <t>Total Liabilities</t>
  </si>
  <si>
    <t>Paid-in Capital</t>
  </si>
  <si>
    <t>Accumulated Deficit</t>
  </si>
  <si>
    <t>Total Equity</t>
  </si>
  <si>
    <t>HISTORICAL CASH FLOW STATEMENT (₹ L) — FY24-FY26 actual</t>
  </si>
  <si>
    <t>Net Income</t>
  </si>
  <si>
    <t>D&amp;A add-back</t>
  </si>
  <si>
    <t>Change in Net Working Capital</t>
  </si>
  <si>
    <t>Cash Flow from Operations</t>
  </si>
  <si>
    <t>Capex</t>
  </si>
  <si>
    <t>Cash Flow from Investing</t>
  </si>
  <si>
    <t>Equity Raised</t>
  </si>
  <si>
    <t>Debt Drawn (net)</t>
  </si>
  <si>
    <t>Cash Flow from Financing</t>
  </si>
  <si>
    <t>Net Change in Cash</t>
  </si>
  <si>
    <t>OPERATIONAL KPIs — FY24-FY26 actual</t>
  </si>
  <si>
    <t>Partner Warehouses (cumulative)</t>
  </si>
  <si>
    <t>Owned Mini-Warehouses (cumulative)</t>
  </si>
  <si>
    <t>Cumulative Farmers Onboarded</t>
  </si>
  <si>
    <t>Active Borrowers (in the year)</t>
  </si>
  <si>
    <t>Cumulative Loan Value Disbursed (₹ Cr)</t>
  </si>
  <si>
    <t>Annual (incremental) Loan Disbursement Volume (₹ Cr)</t>
  </si>
  <si>
    <t>Gross NPA % (blended)</t>
  </si>
  <si>
    <t>— partner-warehouse-collateralized</t>
  </si>
  <si>
    <t>— owned-warehouse-collateralized</t>
  </si>
  <si>
    <t>Repeat Borrower Rate (Year 2+)</t>
  </si>
  <si>
    <t>UNIT ECONOMICS (FY26, per active borrower)</t>
  </si>
  <si>
    <t>Average Loan Ticket Size (₹)</t>
  </si>
  <si>
    <t>Take Rate</t>
  </si>
  <si>
    <t>CAC (₹)</t>
  </si>
  <si>
    <t>Gross Margin per Borrower (₹)</t>
  </si>
  <si>
    <t>Borrower Lifetime (years)</t>
  </si>
  <si>
    <t>LTV (₹)</t>
  </si>
  <si>
    <t>LTV:CAC</t>
  </si>
  <si>
    <t>CAC Payback (months)</t>
  </si>
  <si>
    <t>FORWARD ASSUMPTIONS — FY27E-FY31E (management guidance)</t>
  </si>
  <si>
    <t>Annual Loan Disbursement Volume (₹ Cr)</t>
  </si>
  <si>
    <t>Blended Take Rate</t>
  </si>
  <si>
    <t>SaaS Fee per Partner Warehouse (₹L/yr)</t>
  </si>
  <si>
    <t>Marketplace GMV (% of disbursement volume)</t>
  </si>
  <si>
    <t>Marketplace Fee Rate</t>
  </si>
  <si>
    <t>Avg. Storage Revenue per Mini-Warehouse (₹L/yr)</t>
  </si>
  <si>
    <t>Warehouse Ops &amp; Field Team (% of revenue)</t>
  </si>
  <si>
    <t>Sales &amp; Marketing (% of revenue)</t>
  </si>
  <si>
    <t>Technology &amp; Product / R&amp;D (% of revenue)</t>
  </si>
  <si>
    <t>General &amp; Administrative (% of revenue)</t>
  </si>
  <si>
    <t>New Capex — mini-warehouses + platform (₹L)</t>
  </si>
  <si>
    <t>Working Capital Loan balance (₹L, year-end)</t>
  </si>
  <si>
    <t>Interest rate on Working Capital Loan</t>
  </si>
  <si>
    <t>Tax rate (once PBT positive)</t>
  </si>
  <si>
    <t>AR (% of revenue, approx.)</t>
  </si>
  <si>
    <t>AP (% of revenue, approx.)</t>
  </si>
  <si>
    <t>Series B closes (₹ Cr, added to Paid-in Capital)</t>
  </si>
  <si>
    <t>MARKET SIZING (given, FY26)</t>
  </si>
  <si>
    <t>TAM (₹ Cr)</t>
  </si>
  <si>
    <t>SAM (₹ Cr)</t>
  </si>
  <si>
    <t>SOM — longer-term annual run-rate aspiration (₹ Cr)</t>
  </si>
  <si>
    <t>FUNDING HISTORY</t>
  </si>
  <si>
    <t>Pre-Seed (Aug 2021) — Amount (₹ Cr) / Post-Money (₹ Cr)</t>
  </si>
  <si>
    <t>Seed (Nov 2022) — Amount (₹ Cr) / Post-Money (₹ Cr)</t>
  </si>
  <si>
    <t>Series A (Apr 2024) — Amount (₹ Cr) / Post-Money (₹ Cr)</t>
  </si>
  <si>
    <t>Series B (ask) — Amount (₹ Cr)</t>
  </si>
  <si>
    <t>CURRENT CAP TABLE (pre-Series B, fully diluted %)</t>
  </si>
  <si>
    <t>Priya Deshmukh (CEO)</t>
  </si>
  <si>
    <t>Rohan Iyer (CTO)</t>
  </si>
  <si>
    <t>Suresh Patil (COO)</t>
  </si>
  <si>
    <t>ESOP Pool</t>
  </si>
  <si>
    <t>Angel Syndicate (Pre-Seed)</t>
  </si>
  <si>
    <t>AgriTech Fund (Seed)</t>
  </si>
  <si>
    <t>Growth Fund (Series A)</t>
  </si>
  <si>
    <t>AgriTech Fund (Series A follow-on)</t>
  </si>
  <si>
    <t>Total</t>
  </si>
  <si>
    <t>ESOP top-up at Series B (% of post-money FD, added pre-money)</t>
  </si>
  <si>
    <t>1. FINANCING FACILITATION COMMISSION</t>
  </si>
  <si>
    <t>Financing Facilitation Commission (₹ L)</t>
  </si>
  <si>
    <t>2. WAREHOUSE SAAS/IoT SUBSCRIPTION FEE</t>
  </si>
  <si>
    <t>SaaS Fee per Partner Warehouse (₹ L/yr)</t>
  </si>
  <si>
    <t>Warehouse SaaS/IoT Subscription Fee (₹ L)</t>
  </si>
  <si>
    <t>3. MARKETPLACE TRANSACTION FEE</t>
  </si>
  <si>
    <t>Marketplace GMV (₹ Cr)</t>
  </si>
  <si>
    <t>Marketplace Transaction Fee Rate</t>
  </si>
  <si>
    <t>Marketplace Transaction Fee (₹ L)</t>
  </si>
  <si>
    <t>4. STORAGE FEE</t>
  </si>
  <si>
    <t>Avg. Storage Revenue per Warehouse (₹ L/yr)</t>
  </si>
  <si>
    <t>Storage Fee Revenue (₹ L)</t>
  </si>
  <si>
    <t>TOTAL REVENUE</t>
  </si>
  <si>
    <t xml:space="preserve">    Financing Facilitation Commission</t>
  </si>
  <si>
    <t xml:space="preserve">    Warehouse SaaS/IoT Subscription Fee</t>
  </si>
  <si>
    <t xml:space="preserve">    Marketplace Transaction Fee</t>
  </si>
  <si>
    <t xml:space="preserve">    Storage Fee Revenue</t>
  </si>
  <si>
    <t>GROSS PROFIT</t>
  </si>
  <si>
    <t>TOTAL OPEX</t>
  </si>
  <si>
    <t>PBT</t>
  </si>
  <si>
    <t>Tax</t>
  </si>
  <si>
    <t>NET INCOME (LOSS)</t>
  </si>
  <si>
    <t>BALANCE SHEET — Task 2  (₹ Lakhs, year-end)</t>
  </si>
  <si>
    <t>ASSETS</t>
  </si>
  <si>
    <t>TOTAL CURRENT ASSETS</t>
  </si>
  <si>
    <t>TOTAL ASSETS</t>
  </si>
  <si>
    <t>LIABILITIES</t>
  </si>
  <si>
    <t>TOTAL LIABILITIES</t>
  </si>
  <si>
    <t>EQUITY</t>
  </si>
  <si>
    <t>TOTAL EQUITY</t>
  </si>
  <si>
    <t>TOTAL LIABILITIES + EQUITY</t>
  </si>
  <si>
    <t>Check (Assets - Liab - Equity = 0)</t>
  </si>
  <si>
    <t>CASH FLOW FROM OPERATIONS</t>
  </si>
  <si>
    <t>CASH FLOW FROM INVESTING</t>
  </si>
  <si>
    <t>CASH FLOW FROM FINANCING</t>
  </si>
  <si>
    <t>NET CHANGE IN CASH</t>
  </si>
  <si>
    <t>Opening Cash</t>
  </si>
  <si>
    <t>Closing Cash</t>
  </si>
  <si>
    <t>A. DISCOUNTED CASH FLOW (DCF)</t>
  </si>
  <si>
    <t>Note: pull Free Cash Flow for each year from your Cash Flow Statement tab.</t>
  </si>
  <si>
    <t>Free Cash Flow (₹ L)</t>
  </si>
  <si>
    <t>Discount Factor</t>
  </si>
  <si>
    <t>Present Value of FCF (₹ L)</t>
  </si>
  <si>
    <t>Discount Rate / WACC</t>
  </si>
  <si>
    <t>Terminal Growth Rate</t>
  </si>
  <si>
    <t>Terminal Value (₹ L)</t>
  </si>
  <si>
    <t>PV of Terminal Value (₹ L)</t>
  </si>
  <si>
    <t>Sum of PV of FCF (₹ L)</t>
  </si>
  <si>
    <t>Enterprise Value (₹ L)</t>
  </si>
  <si>
    <t>Enterprise Value (₹ Cr)</t>
  </si>
  <si>
    <t>B. COMPARABLE COMPANY / PRECEDENT TRANSACTION ANALYSIS</t>
  </si>
  <si>
    <t>Comparable</t>
  </si>
  <si>
    <t>Metric Used</t>
  </si>
  <si>
    <t>Multiple</t>
  </si>
  <si>
    <t>Annapurna Metric (₹ Cr)</t>
  </si>
  <si>
    <t>Implied Valuation (₹ Cr)</t>
  </si>
  <si>
    <t>Reference the current cap table on the Assumptions tab for pre-Series B ownership.</t>
  </si>
  <si>
    <t>Shareholder</t>
  </si>
  <si>
    <t>Pre-Series B %</t>
  </si>
  <si>
    <t>Pre-Series B Shares</t>
  </si>
  <si>
    <t>New Shares (Series B + ESOP top-up)</t>
  </si>
  <si>
    <t>Post-Series B Shares</t>
  </si>
  <si>
    <t>Post-Series B %</t>
  </si>
  <si>
    <t>ESOP Top-Up (new)</t>
  </si>
  <si>
    <t>Series B Investor (new)</t>
  </si>
  <si>
    <t>Given figures (see Assumptions tab): TAM ₹8,40,000 Cr · SAM ₹2,40,000 Cr · SOM ₹6,000 Cr/yr (aspiration)</t>
  </si>
  <si>
    <t>Metric</t>
  </si>
  <si>
    <t>Your Methodology / Assumptions</t>
  </si>
  <si>
    <t>Your Value (₹ Cr)</t>
  </si>
  <si>
    <t>TAM (bottom-up)</t>
  </si>
  <si>
    <t>TAM (top-down cross-check)</t>
  </si>
  <si>
    <t>SAM</t>
  </si>
  <si>
    <t>SOM (5-year)</t>
  </si>
  <si>
    <t>Critique: does owning mini-warehouses genuinely remove the "existing warehouse density" constraint on SAM,</t>
  </si>
  <si>
    <t>or does it just trade one constraint (partner availability) for another (Annapurna's own build-out pace/capital)?</t>
  </si>
  <si>
    <t>Particulars</t>
  </si>
  <si>
    <t xml:space="preserve">Opening </t>
  </si>
  <si>
    <t>New debt</t>
  </si>
  <si>
    <t>Closing</t>
  </si>
  <si>
    <t>Average</t>
  </si>
  <si>
    <t>Interest</t>
  </si>
  <si>
    <t>(in Rs Lakhs)</t>
  </si>
  <si>
    <t>Accounts Receivables</t>
  </si>
  <si>
    <t>Inventory</t>
  </si>
  <si>
    <t>Accounts Payables</t>
  </si>
  <si>
    <t>Inventory % Revenue</t>
  </si>
  <si>
    <t>Working Capital</t>
  </si>
  <si>
    <t>Changes</t>
  </si>
  <si>
    <t>Opening</t>
  </si>
  <si>
    <t>New Capex</t>
  </si>
  <si>
    <t>Depreciation</t>
  </si>
  <si>
    <t>Accured Payroll</t>
  </si>
  <si>
    <t>NOPAT</t>
  </si>
  <si>
    <t>(+)Depreciation</t>
  </si>
  <si>
    <t>(-) Capex</t>
  </si>
  <si>
    <t>(-) Changes in working capital</t>
  </si>
  <si>
    <t>Free Cash Flow to Firm</t>
  </si>
  <si>
    <t>FCFF</t>
  </si>
  <si>
    <t xml:space="preserve">Particulars </t>
  </si>
  <si>
    <t>%</t>
  </si>
  <si>
    <t>Interest rate</t>
  </si>
  <si>
    <t xml:space="preserve">Tax </t>
  </si>
  <si>
    <t>After tax COD</t>
  </si>
  <si>
    <t>Cost of Equity</t>
  </si>
  <si>
    <t>Cost of Debt</t>
  </si>
  <si>
    <t>Risk Free Rate</t>
  </si>
  <si>
    <t>Equity Risk Premium</t>
  </si>
  <si>
    <t>Illiquidity premium</t>
  </si>
  <si>
    <t>(Refer Cost of Capital analysis document)</t>
  </si>
  <si>
    <t>Amount</t>
  </si>
  <si>
    <t>Weight</t>
  </si>
  <si>
    <t>Total Debt</t>
  </si>
  <si>
    <t xml:space="preserve">WACC  </t>
  </si>
  <si>
    <t>WACC (Pre Series B)</t>
  </si>
  <si>
    <t>Arya.ag</t>
  </si>
  <si>
    <t>EV/Revenue</t>
  </si>
  <si>
    <t>DeHaat</t>
  </si>
  <si>
    <t>6x to 7.5x</t>
  </si>
  <si>
    <t>2.0x to 2.3x</t>
  </si>
  <si>
    <t>Multiple considered</t>
  </si>
  <si>
    <t>Equity Value (in ₹Cr)</t>
  </si>
  <si>
    <t>Share value and New equity workings</t>
  </si>
  <si>
    <t>Pre Money Valuation</t>
  </si>
  <si>
    <t>Current shares (post ESOP Topup)</t>
  </si>
  <si>
    <t>Share price</t>
  </si>
  <si>
    <t xml:space="preserve">New investment </t>
  </si>
  <si>
    <t>Amount (in Rs)</t>
  </si>
  <si>
    <t>No of Shares</t>
  </si>
  <si>
    <t>FY26 actual production (foodgrain 376.56 MT + oilseeds 43.06 MT, per Ministry of Agriculture 3rd Advance Estimates) x blended MSP-based price/tonne (cereals Rs21,000/t, pulses Rs65,000/t, oilseeds Rs55,000/t) = Rs11,55,207 Cr gross production value. Applied a 68% marketable-surplus factor (share of output actually sold rather than retained for self-consumption/seed/feed, which can never be warehouse-financed) to arrive at the addressable value.</t>
  </si>
  <si>
    <t>India Agri GVA FY26 (Rs52,08,800 Cr) x ~54% crop share x ~45% storable-crop (cereals/pulses/oilseeds) share of crop GVA (excl. horticulture, cotton, sugarcane, plantation crops) = ~Rs12,66,000 Cr gross, x 68% marketable-surplus factor.</t>
  </si>
  <si>
    <t>Case defines SAM by bank/NBFC partner geographic coverage. Annapurna targets 16+ states post-Series B; India's top 16 agri-producing states (UP, Punjab, Haryana, MP, Maharashtra, Rajasthan, Karnataka, AP, Telangana, Bihar, WB, Gujarat, Chhattisgarh, Odisha, TN, Assam) account for ~80% of national storable-crop marketable surplus. SAM = 80% x independent TAM (Rs8,40,000 Cr average of bottom-up/top-down). This is ~2.8x the case's stated SAM (Rs2,40,000 Cr / 28.6%), since owning mini-warehouses removes the binary "does a warehouse exist here" constraint - see critique below.</t>
  </si>
  <si>
    <t>Taken directly from our own Task 1 driver-based forecast (not a separate top-down guess): FY31E annual loan disbursement volume = Rs1,979 Cr, i.e. ~0.29% of independent SAM. The case's Rs6,000 Cr/yr figure is a longer-horizon aspiration beyond this model's 5-year window (~0.89% of independent SAM), representing further share-of-SAM capture after FY31.</t>
  </si>
  <si>
    <t>C. SENSITIVITY ANALYSIS</t>
  </si>
  <si>
    <t>PV of IV (₹ Cr)</t>
  </si>
  <si>
    <t>DISCOUNT RATE (WACC)</t>
  </si>
  <si>
    <t>TERMINAL GROWTH RATE</t>
  </si>
  <si>
    <t>PARTICULARS</t>
  </si>
  <si>
    <t>Depreciation Schedule</t>
  </si>
  <si>
    <t>WC Loan Schedule</t>
  </si>
  <si>
    <t>Working Capital Schedule</t>
  </si>
  <si>
    <t xml:space="preserve">Weighted Average Cost of Capital </t>
  </si>
  <si>
    <t xml:space="preserve">REVENUE BUILD </t>
  </si>
  <si>
    <t>INCOME STATEMENT —(₹ Lakhs)</t>
  </si>
  <si>
    <t>CASH FLOW STATEMENT   (₹ Lakhs)</t>
  </si>
  <si>
    <t xml:space="preserve">VALUATION </t>
  </si>
  <si>
    <t>CAP TABLE  pro-forma post-Series B</t>
  </si>
  <si>
    <t>TAM / SAM / SOM  independent rebuild</t>
  </si>
  <si>
    <t>(Refer TAM SAM SOM Analysis report)</t>
  </si>
  <si>
    <t>Beta (number)</t>
  </si>
  <si>
    <t>Accrued Payroll (% of Revenue)</t>
  </si>
  <si>
    <t>D. SCENARIO ANALYSIS</t>
  </si>
  <si>
    <t>Base</t>
  </si>
  <si>
    <t xml:space="preserve">Bull </t>
  </si>
  <si>
    <t>Bear</t>
  </si>
  <si>
    <t>Average Storage Revenue (in Lakhs)</t>
  </si>
  <si>
    <t>Annual Disbursement Volume (in Crores)</t>
  </si>
  <si>
    <t>Capex (in Lakhs)</t>
  </si>
  <si>
    <t>Gross Margin (%)</t>
  </si>
  <si>
    <t>Choose Case</t>
  </si>
  <si>
    <t>Average (in Rs Cr.)</t>
  </si>
  <si>
    <t>Comps 2 - Dehaat (in Rs Cr.)</t>
  </si>
  <si>
    <t>Comps 1 - Arya.ag (in Rs Cr.)</t>
  </si>
  <si>
    <t>Depreciation &amp; Amortization (₹L) (on total)</t>
  </si>
  <si>
    <t>(Refer Cost of capital and Comps Report)</t>
  </si>
  <si>
    <t>Scenario Assumptions</t>
  </si>
  <si>
    <t>Cash (in Rs Lakhs)</t>
  </si>
  <si>
    <t>Debt (in Rs Lakhs)</t>
  </si>
  <si>
    <t>PV Terminal Value (in Rs Lakhs)</t>
  </si>
  <si>
    <t>Enterprise Value (in Rs Lakhs)</t>
  </si>
  <si>
    <t>PV FCFF (in Rs Lakhs)</t>
  </si>
  <si>
    <t>Valuation Range (₹ Cr)</t>
  </si>
  <si>
    <t>Pre-Money Valuation (₹ Cr)</t>
  </si>
  <si>
    <t>Post-Money Valuation (₹ Cr)</t>
  </si>
  <si>
    <t>Average of all (₹ Cr)</t>
  </si>
  <si>
    <t xml:space="preserve">Equity Value (in Rs Cr.)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</si>
</sst>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#,##0.0;\(#,##0.0\);&quot;-&quot;"/>
    <numFmt numFmtId="165" formatCode="0.0%"/>
    <numFmt numFmtId="166" formatCode="#,##0;\(#,##0\);&quot;-&quot;"/>
    <numFmt numFmtId="167" formatCode="0.0&quot;x&quot;"/>
    <numFmt numFmtId="168" formatCode="_ * #,##0.0_ ;_ * \-#,##0.0_ ;_ * &quot;-&quot;??_ ;_ @_ "/>
    <numFmt numFmtId="169" formatCode="_ * #,##0.0_ ;_ * \-#,##0.0_ ;_ * &quot;-&quot;?_ ;_ @_ "/>
    <numFmt numFmtId="170" formatCode="_ * #,##0_ ;_ * \-#,##0_ ;_ * &quot;-&quot;??_ ;_ @_ "/>
    <numFmt numFmtId="171" formatCode="#,##0.00;\(#,##0.00\);&quot;-&quot;"/>
    <numFmt numFmtId="172" formatCode="_ * #,##0_ ;_ * \-#,##0_ ;_ * &quot;-&quot;?_ ;_ @_ "/>
    <numFmt numFmtId="173" formatCode="#,##0.00;\(#,##0.00\)"/>
  </numFmts>
  <fonts count="26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i/>
      <sz val="11"/>
      <name val="Arial"/>
      <family val="2"/>
    </font>
    <font>
      <b/>
      <sz val="10"/>
      <name val="Arial"/>
      <family val="2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i/>
      <sz val="9"/>
      <color rgb="FF808080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000000"/>
      <name val="Arial"/>
      <family val="2"/>
    </font>
    <font>
      <sz val="11"/>
      <color theme="0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sz val="10"/>
      <color rgb="FF000000"/>
      <name val="Arial"/>
      <family val="2"/>
    </font>
    <font>
      <b/>
      <sz val="16"/>
      <color theme="0"/>
      <name val="Calibri"/>
      <family val="2"/>
      <scheme val="minor"/>
    </font>
    <font>
      <i/>
      <sz val="10"/>
      <color theme="0" tint="-0.499984740745262"/>
      <name val="Arial"/>
      <family val="2"/>
    </font>
    <font>
      <b/>
      <sz val="10"/>
      <color theme="0"/>
      <name val="Arial"/>
      <family val="2"/>
    </font>
    <font>
      <b/>
      <i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rgb="FF0066FF"/>
      <name val="Calibri"/>
      <family val="2"/>
      <scheme val="minor"/>
    </font>
    <font>
      <sz val="10"/>
      <color rgb="FF0066FF"/>
      <name val="Arial"/>
      <family val="2"/>
    </font>
    <font>
      <i/>
      <sz val="9"/>
      <color theme="0" tint="-0.34998626667073579"/>
      <name val="Calibri"/>
      <family val="2"/>
      <scheme val="minor"/>
    </font>
    <font>
      <b/>
      <u/>
      <sz val="11"/>
      <color theme="0"/>
      <name val="Calibri"/>
      <family val="2"/>
      <scheme val="minor"/>
    </font>
    <font>
      <sz val="11"/>
      <color rgb="FF002060"/>
      <name val="Calibri"/>
      <family val="2"/>
      <scheme val="minor"/>
    </font>
    <font>
      <i/>
      <sz val="8"/>
      <color theme="0" tint="-0.34998626667073579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249977111117893"/>
        <bgColor rgb="FF1F4E78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2F2F2"/>
      </patternFill>
    </fill>
    <fill>
      <patternFill patternType="solid">
        <fgColor theme="3" tint="-0.249977111117893"/>
        <bgColor rgb="FF1F4E78"/>
      </patternFill>
    </fill>
    <fill>
      <patternFill patternType="solid">
        <fgColor theme="3" tint="-0.249977111117893"/>
        <bgColor rgb="FFF2F2F2"/>
      </patternFill>
    </fill>
    <fill>
      <patternFill patternType="solid">
        <fgColor theme="4" tint="0.59999389629810485"/>
        <bgColor rgb="FFD9E1F2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rgb="FF1F4E78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</cellStyleXfs>
  <cellXfs count="16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49" fontId="7" fillId="3" borderId="0" xfId="0" applyNumberFormat="1" applyFont="1" applyFill="1" applyAlignment="1">
      <alignment horizontal="center"/>
    </xf>
    <xf numFmtId="0" fontId="3" fillId="4" borderId="0" xfId="0" applyFont="1" applyFill="1"/>
    <xf numFmtId="0" fontId="0" fillId="4" borderId="0" xfId="0" applyFill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10" fontId="5" fillId="0" borderId="0" xfId="0" applyNumberFormat="1" applyFont="1"/>
    <xf numFmtId="4" fontId="5" fillId="0" borderId="0" xfId="0" applyNumberFormat="1" applyFont="1"/>
    <xf numFmtId="167" fontId="5" fillId="0" borderId="0" xfId="0" applyNumberFormat="1" applyFont="1"/>
    <xf numFmtId="0" fontId="7" fillId="3" borderId="0" xfId="0" applyFont="1" applyFill="1" applyAlignment="1">
      <alignment horizontal="center"/>
    </xf>
    <xf numFmtId="168" fontId="0" fillId="0" borderId="0" xfId="1" applyNumberFormat="1" applyFont="1"/>
    <xf numFmtId="43" fontId="4" fillId="2" borderId="0" xfId="1" applyFont="1" applyFill="1"/>
    <xf numFmtId="43" fontId="0" fillId="0" borderId="0" xfId="1" applyFont="1"/>
    <xf numFmtId="43" fontId="0" fillId="4" borderId="0" xfId="1" applyFont="1" applyFill="1"/>
    <xf numFmtId="49" fontId="7" fillId="6" borderId="0" xfId="0" applyNumberFormat="1" applyFont="1" applyFill="1" applyAlignment="1">
      <alignment horizontal="center"/>
    </xf>
    <xf numFmtId="0" fontId="10" fillId="0" borderId="0" xfId="0" applyFont="1"/>
    <xf numFmtId="168" fontId="10" fillId="0" borderId="0" xfId="1" applyNumberFormat="1" applyFont="1"/>
    <xf numFmtId="0" fontId="0" fillId="0" borderId="0" xfId="0" applyAlignment="1">
      <alignment vertical="center" wrapText="1"/>
    </xf>
    <xf numFmtId="169" fontId="0" fillId="0" borderId="0" xfId="0" applyNumberFormat="1"/>
    <xf numFmtId="0" fontId="9" fillId="7" borderId="0" xfId="0" applyFont="1" applyFill="1"/>
    <xf numFmtId="0" fontId="9" fillId="7" borderId="0" xfId="0" applyFont="1" applyFill="1" applyAlignment="1">
      <alignment horizontal="right"/>
    </xf>
    <xf numFmtId="9" fontId="0" fillId="0" borderId="0" xfId="2" applyFont="1"/>
    <xf numFmtId="10" fontId="0" fillId="0" borderId="0" xfId="2" applyNumberFormat="1" applyFont="1"/>
    <xf numFmtId="10" fontId="10" fillId="0" borderId="0" xfId="2" applyNumberFormat="1" applyFont="1"/>
    <xf numFmtId="0" fontId="13" fillId="0" borderId="0" xfId="0" applyFont="1"/>
    <xf numFmtId="170" fontId="0" fillId="0" borderId="0" xfId="1" applyNumberFormat="1" applyFont="1"/>
    <xf numFmtId="0" fontId="12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right"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vertical="center"/>
    </xf>
    <xf numFmtId="3" fontId="10" fillId="0" borderId="0" xfId="0" applyNumberFormat="1" applyFont="1" applyAlignment="1">
      <alignment horizontal="right" vertical="center"/>
    </xf>
    <xf numFmtId="10" fontId="10" fillId="0" borderId="0" xfId="0" applyNumberFormat="1" applyFont="1" applyAlignment="1">
      <alignment horizontal="right" vertical="center"/>
    </xf>
    <xf numFmtId="9" fontId="10" fillId="0" borderId="0" xfId="0" applyNumberFormat="1" applyFont="1" applyAlignment="1">
      <alignment horizontal="right" vertical="center"/>
    </xf>
    <xf numFmtId="0" fontId="14" fillId="0" borderId="1" xfId="0" applyFont="1" applyBorder="1" applyAlignment="1">
      <alignment vertical="center"/>
    </xf>
    <xf numFmtId="0" fontId="0" fillId="8" borderId="0" xfId="0" applyFill="1"/>
    <xf numFmtId="0" fontId="7" fillId="3" borderId="0" xfId="0" applyFont="1" applyFill="1" applyAlignment="1">
      <alignment horizontal="left" wrapText="1"/>
    </xf>
    <xf numFmtId="0" fontId="7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center" wrapText="1"/>
    </xf>
    <xf numFmtId="0" fontId="9" fillId="9" borderId="0" xfId="0" applyFont="1" applyFill="1"/>
    <xf numFmtId="0" fontId="0" fillId="9" borderId="0" xfId="0" applyFill="1"/>
    <xf numFmtId="0" fontId="16" fillId="0" borderId="0" xfId="0" applyFont="1" applyAlignment="1">
      <alignment vertical="center"/>
    </xf>
    <xf numFmtId="164" fontId="4" fillId="10" borderId="0" xfId="0" applyNumberFormat="1" applyFont="1" applyFill="1"/>
    <xf numFmtId="164" fontId="4" fillId="11" borderId="0" xfId="0" applyNumberFormat="1" applyFont="1" applyFill="1"/>
    <xf numFmtId="165" fontId="11" fillId="10" borderId="0" xfId="0" applyNumberFormat="1" applyFont="1" applyFill="1"/>
    <xf numFmtId="165" fontId="4" fillId="10" borderId="0" xfId="0" applyNumberFormat="1" applyFont="1" applyFill="1"/>
    <xf numFmtId="0" fontId="17" fillId="7" borderId="0" xfId="0" applyFont="1" applyFill="1"/>
    <xf numFmtId="164" fontId="17" fillId="12" borderId="0" xfId="0" applyNumberFormat="1" applyFont="1" applyFill="1"/>
    <xf numFmtId="164" fontId="17" fillId="13" borderId="0" xfId="0" applyNumberFormat="1" applyFont="1" applyFill="1"/>
    <xf numFmtId="0" fontId="3" fillId="14" borderId="0" xfId="0" applyFont="1" applyFill="1"/>
    <xf numFmtId="0" fontId="0" fillId="14" borderId="0" xfId="0" applyFill="1"/>
    <xf numFmtId="164" fontId="0" fillId="10" borderId="0" xfId="0" applyNumberFormat="1" applyFill="1"/>
    <xf numFmtId="171" fontId="0" fillId="10" borderId="0" xfId="0" applyNumberFormat="1" applyFill="1"/>
    <xf numFmtId="165" fontId="0" fillId="10" borderId="0" xfId="0" applyNumberFormat="1" applyFill="1"/>
    <xf numFmtId="0" fontId="0" fillId="10" borderId="0" xfId="0" applyFill="1"/>
    <xf numFmtId="0" fontId="0" fillId="10" borderId="1" xfId="0" applyFill="1" applyBorder="1" applyAlignment="1">
      <alignment horizontal="left" vertical="top" wrapText="1"/>
    </xf>
    <xf numFmtId="166" fontId="0" fillId="10" borderId="1" xfId="0" applyNumberFormat="1" applyFill="1" applyBorder="1"/>
    <xf numFmtId="43" fontId="10" fillId="0" borderId="0" xfId="0" applyNumberFormat="1" applyFont="1"/>
    <xf numFmtId="0" fontId="18" fillId="0" borderId="0" xfId="0" applyFont="1"/>
    <xf numFmtId="43" fontId="18" fillId="0" borderId="0" xfId="0" applyNumberFormat="1" applyFont="1"/>
    <xf numFmtId="43" fontId="8" fillId="8" borderId="0" xfId="1" applyFont="1" applyFill="1" applyBorder="1"/>
    <xf numFmtId="43" fontId="8" fillId="8" borderId="5" xfId="1" applyFont="1" applyFill="1" applyBorder="1"/>
    <xf numFmtId="43" fontId="8" fillId="8" borderId="8" xfId="1" applyFont="1" applyFill="1" applyBorder="1"/>
    <xf numFmtId="43" fontId="8" fillId="8" borderId="7" xfId="1" applyFont="1" applyFill="1" applyBorder="1"/>
    <xf numFmtId="0" fontId="9" fillId="7" borderId="2" xfId="0" applyFont="1" applyFill="1" applyBorder="1"/>
    <xf numFmtId="0" fontId="9" fillId="7" borderId="3" xfId="0" applyFont="1" applyFill="1" applyBorder="1"/>
    <xf numFmtId="0" fontId="0" fillId="0" borderId="4" xfId="0" applyBorder="1"/>
    <xf numFmtId="170" fontId="0" fillId="8" borderId="5" xfId="1" applyNumberFormat="1" applyFont="1" applyFill="1" applyBorder="1"/>
    <xf numFmtId="0" fontId="0" fillId="0" borderId="6" xfId="0" applyBorder="1"/>
    <xf numFmtId="170" fontId="0" fillId="8" borderId="7" xfId="1" applyNumberFormat="1" applyFont="1" applyFill="1" applyBorder="1"/>
    <xf numFmtId="0" fontId="7" fillId="3" borderId="2" xfId="0" applyFont="1" applyFill="1" applyBorder="1" applyAlignment="1">
      <alignment horizontal="center" wrapText="1"/>
    </xf>
    <xf numFmtId="0" fontId="7" fillId="3" borderId="15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horizontal="center" wrapText="1"/>
    </xf>
    <xf numFmtId="0" fontId="4" fillId="0" borderId="4" xfId="0" applyFont="1" applyBorder="1"/>
    <xf numFmtId="166" fontId="0" fillId="10" borderId="0" xfId="0" applyNumberFormat="1" applyFill="1"/>
    <xf numFmtId="165" fontId="0" fillId="10" borderId="5" xfId="0" applyNumberFormat="1" applyFill="1" applyBorder="1"/>
    <xf numFmtId="0" fontId="17" fillId="7" borderId="6" xfId="0" applyFont="1" applyFill="1" applyBorder="1"/>
    <xf numFmtId="165" fontId="9" fillId="13" borderId="8" xfId="0" applyNumberFormat="1" applyFont="1" applyFill="1" applyBorder="1"/>
    <xf numFmtId="170" fontId="9" fillId="13" borderId="8" xfId="1" applyNumberFormat="1" applyFont="1" applyFill="1" applyBorder="1"/>
    <xf numFmtId="166" fontId="9" fillId="13" borderId="8" xfId="0" applyNumberFormat="1" applyFont="1" applyFill="1" applyBorder="1"/>
    <xf numFmtId="165" fontId="9" fillId="13" borderId="7" xfId="0" applyNumberFormat="1" applyFont="1" applyFill="1" applyBorder="1"/>
    <xf numFmtId="43" fontId="0" fillId="8" borderId="5" xfId="1" applyFont="1" applyFill="1" applyBorder="1"/>
    <xf numFmtId="43" fontId="14" fillId="11" borderId="0" xfId="1" applyFont="1" applyFill="1"/>
    <xf numFmtId="165" fontId="4" fillId="2" borderId="0" xfId="2" applyNumberFormat="1" applyFont="1" applyFill="1"/>
    <xf numFmtId="10" fontId="4" fillId="2" borderId="0" xfId="2" applyNumberFormat="1" applyFont="1" applyFill="1"/>
    <xf numFmtId="0" fontId="19" fillId="0" borderId="0" xfId="0" applyFont="1"/>
    <xf numFmtId="170" fontId="20" fillId="8" borderId="0" xfId="1" applyNumberFormat="1" applyFont="1" applyFill="1"/>
    <xf numFmtId="0" fontId="20" fillId="0" borderId="0" xfId="0" applyFont="1"/>
    <xf numFmtId="10" fontId="20" fillId="0" borderId="0" xfId="2" applyNumberFormat="1" applyFont="1"/>
    <xf numFmtId="10" fontId="20" fillId="0" borderId="0" xfId="0" applyNumberFormat="1" applyFont="1"/>
    <xf numFmtId="43" fontId="20" fillId="0" borderId="0" xfId="1" applyFont="1"/>
    <xf numFmtId="170" fontId="21" fillId="0" borderId="0" xfId="1" applyNumberFormat="1" applyFont="1"/>
    <xf numFmtId="170" fontId="20" fillId="0" borderId="0" xfId="1" applyNumberFormat="1" applyFont="1"/>
    <xf numFmtId="172" fontId="20" fillId="0" borderId="0" xfId="0" applyNumberFormat="1" applyFont="1"/>
    <xf numFmtId="9" fontId="21" fillId="0" borderId="0" xfId="2" applyFont="1"/>
    <xf numFmtId="9" fontId="20" fillId="0" borderId="0" xfId="2" applyFont="1"/>
    <xf numFmtId="0" fontId="12" fillId="8" borderId="0" xfId="0" applyFont="1" applyFill="1"/>
    <xf numFmtId="0" fontId="22" fillId="10" borderId="0" xfId="0" applyFont="1" applyFill="1"/>
    <xf numFmtId="0" fontId="23" fillId="16" borderId="0" xfId="0" applyFont="1" applyFill="1"/>
    <xf numFmtId="0" fontId="7" fillId="19" borderId="0" xfId="0" applyFont="1" applyFill="1" applyAlignment="1">
      <alignment horizontal="center"/>
    </xf>
    <xf numFmtId="0" fontId="9" fillId="17" borderId="2" xfId="0" applyFont="1" applyFill="1" applyBorder="1"/>
    <xf numFmtId="0" fontId="9" fillId="16" borderId="4" xfId="0" applyFont="1" applyFill="1" applyBorder="1"/>
    <xf numFmtId="0" fontId="7" fillId="19" borderId="2" xfId="0" applyFont="1" applyFill="1" applyBorder="1" applyAlignment="1">
      <alignment horizontal="center"/>
    </xf>
    <xf numFmtId="0" fontId="7" fillId="19" borderId="15" xfId="0" applyFont="1" applyFill="1" applyBorder="1" applyAlignment="1">
      <alignment horizontal="center"/>
    </xf>
    <xf numFmtId="0" fontId="7" fillId="19" borderId="3" xfId="0" applyFont="1" applyFill="1" applyBorder="1" applyAlignment="1">
      <alignment horizontal="center"/>
    </xf>
    <xf numFmtId="0" fontId="0" fillId="18" borderId="3" xfId="0" applyFill="1" applyBorder="1"/>
    <xf numFmtId="9" fontId="12" fillId="18" borderId="9" xfId="0" applyNumberFormat="1" applyFont="1" applyFill="1" applyBorder="1"/>
    <xf numFmtId="9" fontId="12" fillId="18" borderId="11" xfId="0" applyNumberFormat="1" applyFont="1" applyFill="1" applyBorder="1"/>
    <xf numFmtId="9" fontId="12" fillId="18" borderId="10" xfId="0" applyNumberFormat="1" applyFont="1" applyFill="1" applyBorder="1"/>
    <xf numFmtId="165" fontId="12" fillId="18" borderId="12" xfId="0" applyNumberFormat="1" applyFont="1" applyFill="1" applyBorder="1"/>
    <xf numFmtId="165" fontId="12" fillId="18" borderId="13" xfId="0" applyNumberFormat="1" applyFont="1" applyFill="1" applyBorder="1"/>
    <xf numFmtId="165" fontId="12" fillId="18" borderId="13" xfId="2" applyNumberFormat="1" applyFont="1" applyFill="1" applyBorder="1"/>
    <xf numFmtId="165" fontId="12" fillId="18" borderId="14" xfId="2" applyNumberFormat="1" applyFont="1" applyFill="1" applyBorder="1"/>
    <xf numFmtId="164" fontId="24" fillId="18" borderId="7" xfId="0" applyNumberFormat="1" applyFont="1" applyFill="1" applyBorder="1"/>
    <xf numFmtId="0" fontId="10" fillId="0" borderId="11" xfId="0" applyFont="1" applyBorder="1"/>
    <xf numFmtId="0" fontId="10" fillId="0" borderId="10" xfId="0" applyFont="1" applyBorder="1"/>
    <xf numFmtId="0" fontId="25" fillId="0" borderId="0" xfId="0" applyFont="1"/>
    <xf numFmtId="9" fontId="5" fillId="0" borderId="0" xfId="2" applyFont="1"/>
    <xf numFmtId="0" fontId="10" fillId="0" borderId="15" xfId="0" applyFont="1" applyBorder="1"/>
    <xf numFmtId="168" fontId="10" fillId="0" borderId="15" xfId="1" applyNumberFormat="1" applyFont="1" applyBorder="1"/>
    <xf numFmtId="0" fontId="10" fillId="0" borderId="8" xfId="0" applyFont="1" applyBorder="1"/>
    <xf numFmtId="168" fontId="10" fillId="0" borderId="8" xfId="1" applyNumberFormat="1" applyFont="1" applyBorder="1"/>
    <xf numFmtId="173" fontId="0" fillId="0" borderId="0" xfId="1" applyNumberFormat="1" applyFont="1" applyBorder="1"/>
    <xf numFmtId="173" fontId="0" fillId="0" borderId="5" xfId="1" applyNumberFormat="1" applyFont="1" applyBorder="1"/>
    <xf numFmtId="173" fontId="0" fillId="0" borderId="8" xfId="1" applyNumberFormat="1" applyFont="1" applyBorder="1"/>
    <xf numFmtId="173" fontId="0" fillId="0" borderId="7" xfId="1" applyNumberFormat="1" applyFont="1" applyBorder="1"/>
    <xf numFmtId="173" fontId="0" fillId="0" borderId="4" xfId="1" applyNumberFormat="1" applyFont="1" applyBorder="1"/>
    <xf numFmtId="173" fontId="0" fillId="0" borderId="6" xfId="1" applyNumberFormat="1" applyFont="1" applyBorder="1"/>
    <xf numFmtId="0" fontId="9" fillId="18" borderId="9" xfId="0" applyFont="1" applyFill="1" applyBorder="1" applyAlignment="1">
      <alignment horizontal="center"/>
    </xf>
    <xf numFmtId="170" fontId="9" fillId="20" borderId="11" xfId="1" applyNumberFormat="1" applyFont="1" applyFill="1" applyBorder="1" applyAlignment="1">
      <alignment horizontal="center"/>
    </xf>
    <xf numFmtId="170" fontId="9" fillId="20" borderId="10" xfId="1" applyNumberFormat="1" applyFont="1" applyFill="1" applyBorder="1" applyAlignment="1">
      <alignment horizontal="center"/>
    </xf>
    <xf numFmtId="0" fontId="9" fillId="20" borderId="4" xfId="0" applyFont="1" applyFill="1" applyBorder="1"/>
    <xf numFmtId="0" fontId="9" fillId="20" borderId="6" xfId="0" applyFont="1" applyFill="1" applyBorder="1"/>
    <xf numFmtId="170" fontId="9" fillId="16" borderId="11" xfId="1" applyNumberFormat="1" applyFont="1" applyFill="1" applyBorder="1" applyAlignment="1">
      <alignment horizontal="center"/>
    </xf>
    <xf numFmtId="0" fontId="17" fillId="20" borderId="6" xfId="0" applyFont="1" applyFill="1" applyBorder="1"/>
    <xf numFmtId="164" fontId="0" fillId="2" borderId="9" xfId="0" applyNumberFormat="1" applyFill="1" applyBorder="1" applyAlignment="1">
      <alignment horizontal="right"/>
    </xf>
    <xf numFmtId="164" fontId="0" fillId="15" borderId="11" xfId="0" applyNumberFormat="1" applyFill="1" applyBorder="1"/>
    <xf numFmtId="164" fontId="12" fillId="20" borderId="10" xfId="0" applyNumberFormat="1" applyFont="1" applyFill="1" applyBorder="1"/>
    <xf numFmtId="0" fontId="3" fillId="15" borderId="2" xfId="0" applyFont="1" applyFill="1" applyBorder="1"/>
    <xf numFmtId="0" fontId="3" fillId="15" borderId="4" xfId="0" applyFont="1" applyFill="1" applyBorder="1"/>
    <xf numFmtId="0" fontId="17" fillId="20" borderId="12" xfId="0" applyFont="1" applyFill="1" applyBorder="1"/>
    <xf numFmtId="164" fontId="12" fillId="20" borderId="1" xfId="0" applyNumberFormat="1" applyFont="1" applyFill="1" applyBorder="1"/>
    <xf numFmtId="0" fontId="9" fillId="20" borderId="2" xfId="0" applyFont="1" applyFill="1" applyBorder="1"/>
    <xf numFmtId="170" fontId="9" fillId="20" borderId="9" xfId="1" applyNumberFormat="1" applyFont="1" applyFill="1" applyBorder="1" applyAlignment="1">
      <alignment horizontal="center"/>
    </xf>
    <xf numFmtId="0" fontId="9" fillId="18" borderId="9" xfId="0" applyFont="1" applyFill="1" applyBorder="1" applyAlignment="1">
      <alignment horizontal="center" vertical="center"/>
    </xf>
    <xf numFmtId="0" fontId="9" fillId="18" borderId="11" xfId="0" applyFont="1" applyFill="1" applyBorder="1" applyAlignment="1">
      <alignment horizontal="center" vertical="center"/>
    </xf>
    <xf numFmtId="0" fontId="9" fillId="18" borderId="10" xfId="0" applyFont="1" applyFill="1" applyBorder="1" applyAlignment="1">
      <alignment horizontal="center" vertical="center"/>
    </xf>
    <xf numFmtId="0" fontId="9" fillId="18" borderId="12" xfId="0" applyFont="1" applyFill="1" applyBorder="1" applyAlignment="1">
      <alignment horizontal="center"/>
    </xf>
    <xf numFmtId="0" fontId="9" fillId="18" borderId="13" xfId="0" applyFont="1" applyFill="1" applyBorder="1" applyAlignment="1">
      <alignment horizontal="center"/>
    </xf>
    <xf numFmtId="0" fontId="9" fillId="18" borderId="14" xfId="0" applyFont="1" applyFill="1" applyBorder="1" applyAlignment="1">
      <alignment horizontal="center"/>
    </xf>
    <xf numFmtId="0" fontId="9" fillId="17" borderId="12" xfId="0" applyFont="1" applyFill="1" applyBorder="1" applyAlignment="1">
      <alignment horizontal="center"/>
    </xf>
    <xf numFmtId="0" fontId="9" fillId="17" borderId="13" xfId="0" applyFont="1" applyFill="1" applyBorder="1" applyAlignment="1">
      <alignment horizontal="center"/>
    </xf>
    <xf numFmtId="0" fontId="9" fillId="17" borderId="14" xfId="0" applyFont="1" applyFill="1" applyBorder="1" applyAlignment="1">
      <alignment horizontal="center"/>
    </xf>
    <xf numFmtId="0" fontId="7" fillId="19" borderId="9" xfId="0" applyFont="1" applyFill="1" applyBorder="1" applyAlignment="1">
      <alignment horizontal="center" vertical="center"/>
    </xf>
    <xf numFmtId="0" fontId="7" fillId="19" borderId="11" xfId="0" applyFont="1" applyFill="1" applyBorder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/>
    </xf>
    <xf numFmtId="0" fontId="15" fillId="5" borderId="0" xfId="0" applyFont="1" applyFill="1" applyAlignment="1">
      <alignment horizontal="left"/>
    </xf>
    <xf numFmtId="0" fontId="9" fillId="7" borderId="0" xfId="0" applyFont="1" applyFill="1" applyAlignment="1">
      <alignment horizontal="center"/>
    </xf>
    <xf numFmtId="0" fontId="9" fillId="21" borderId="0" xfId="0" applyFont="1" applyFill="1"/>
    <xf numFmtId="10" fontId="9" fillId="21" borderId="0" xfId="2" applyNumberFormat="1" applyFont="1" applyFill="1"/>
    <xf numFmtId="170" fontId="0" fillId="8" borderId="0" xfId="0" applyNumberFormat="1" applyFont="1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00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showGridLines="0" workbookViewId="0">
      <selection activeCell="A16" sqref="A16"/>
    </sheetView>
  </sheetViews>
  <sheetFormatPr defaultRowHeight="14.4" x14ac:dyDescent="0.3"/>
  <cols>
    <col min="1" max="1" width="105" customWidth="1"/>
  </cols>
  <sheetData>
    <row r="1" spans="1:1" ht="17.399999999999999" x14ac:dyDescent="0.3">
      <c r="A1" s="1" t="s">
        <v>0</v>
      </c>
    </row>
    <row r="2" spans="1:1" x14ac:dyDescent="0.3">
      <c r="A2" s="2" t="s">
        <v>1</v>
      </c>
    </row>
    <row r="4" spans="1:1" x14ac:dyDescent="0.3">
      <c r="A4" s="3" t="s">
        <v>2</v>
      </c>
    </row>
    <row r="5" spans="1:1" x14ac:dyDescent="0.3">
      <c r="A5" s="4" t="s">
        <v>3</v>
      </c>
    </row>
    <row r="6" spans="1:1" x14ac:dyDescent="0.3">
      <c r="A6" s="4" t="s">
        <v>4</v>
      </c>
    </row>
    <row r="7" spans="1:1" x14ac:dyDescent="0.3">
      <c r="A7" s="4" t="s">
        <v>5</v>
      </c>
    </row>
    <row r="8" spans="1:1" x14ac:dyDescent="0.3">
      <c r="A8" s="4" t="s">
        <v>6</v>
      </c>
    </row>
    <row r="9" spans="1:1" x14ac:dyDescent="0.3">
      <c r="A9" s="4" t="s">
        <v>7</v>
      </c>
    </row>
    <row r="12" spans="1:1" x14ac:dyDescent="0.3">
      <c r="A12" s="3" t="s">
        <v>8</v>
      </c>
    </row>
    <row r="13" spans="1:1" x14ac:dyDescent="0.3">
      <c r="A13" s="4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 t="s">
        <v>12</v>
      </c>
    </row>
    <row r="17" spans="1:1" x14ac:dyDescent="0.3">
      <c r="A17" s="4" t="s">
        <v>13</v>
      </c>
    </row>
    <row r="18" spans="1:1" x14ac:dyDescent="0.3">
      <c r="A18" s="4" t="s">
        <v>14</v>
      </c>
    </row>
    <row r="19" spans="1:1" x14ac:dyDescent="0.3">
      <c r="A19" s="4" t="s">
        <v>15</v>
      </c>
    </row>
    <row r="20" spans="1:1" x14ac:dyDescent="0.3">
      <c r="A20" s="4" t="s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9"/>
  <sheetViews>
    <sheetView showGridLines="0" workbookViewId="0">
      <pane xSplit="1" ySplit="2" topLeftCell="B42" activePane="bottomRight" state="frozen"/>
      <selection pane="topRight"/>
      <selection pane="bottomLeft"/>
      <selection pane="bottomRight" activeCell="D33" sqref="D33"/>
    </sheetView>
  </sheetViews>
  <sheetFormatPr defaultRowHeight="14.4" x14ac:dyDescent="0.3"/>
  <cols>
    <col min="1" max="1" width="61.88671875" bestFit="1" customWidth="1"/>
    <col min="2" max="9" width="13" customWidth="1"/>
  </cols>
  <sheetData>
    <row r="1" spans="1:9" ht="17.399999999999999" x14ac:dyDescent="0.3">
      <c r="A1" s="1" t="s">
        <v>17</v>
      </c>
    </row>
    <row r="2" spans="1:9" x14ac:dyDescent="0.3">
      <c r="A2" s="5" t="s">
        <v>18</v>
      </c>
      <c r="B2" s="6" t="s">
        <v>19</v>
      </c>
      <c r="C2" s="6" t="s">
        <v>20</v>
      </c>
      <c r="D2" s="6" t="s">
        <v>21</v>
      </c>
      <c r="E2" s="6" t="s">
        <v>22</v>
      </c>
      <c r="F2" s="6" t="s">
        <v>23</v>
      </c>
      <c r="G2" s="6" t="s">
        <v>24</v>
      </c>
      <c r="H2" s="6" t="s">
        <v>25</v>
      </c>
      <c r="I2" s="6" t="s">
        <v>26</v>
      </c>
    </row>
    <row r="4" spans="1:9" x14ac:dyDescent="0.3">
      <c r="A4" s="7" t="s">
        <v>27</v>
      </c>
      <c r="B4" s="8"/>
      <c r="C4" s="8"/>
      <c r="D4" s="8"/>
      <c r="E4" s="8"/>
      <c r="F4" s="8"/>
      <c r="G4" s="8"/>
      <c r="H4" s="8"/>
      <c r="I4" s="8"/>
    </row>
    <row r="5" spans="1:9" x14ac:dyDescent="0.3">
      <c r="A5" s="4" t="s">
        <v>28</v>
      </c>
      <c r="B5" s="9">
        <v>380</v>
      </c>
      <c r="C5" s="9">
        <v>1050</v>
      </c>
      <c r="D5" s="9">
        <v>2460</v>
      </c>
    </row>
    <row r="6" spans="1:9" x14ac:dyDescent="0.3">
      <c r="A6" s="4" t="s">
        <v>29</v>
      </c>
      <c r="B6" s="9">
        <v>100</v>
      </c>
      <c r="C6" s="9">
        <v>230</v>
      </c>
      <c r="D6" s="9">
        <v>460</v>
      </c>
    </row>
    <row r="7" spans="1:9" x14ac:dyDescent="0.3">
      <c r="A7" s="4" t="s">
        <v>30</v>
      </c>
      <c r="B7" s="9">
        <v>60</v>
      </c>
      <c r="C7" s="9">
        <v>270</v>
      </c>
      <c r="D7" s="9">
        <v>900</v>
      </c>
    </row>
    <row r="8" spans="1:9" x14ac:dyDescent="0.3">
      <c r="A8" s="4" t="s">
        <v>31</v>
      </c>
      <c r="B8" s="9">
        <v>0</v>
      </c>
      <c r="C8" s="9">
        <v>45</v>
      </c>
      <c r="D8" s="9">
        <v>640</v>
      </c>
    </row>
    <row r="9" spans="1:9" x14ac:dyDescent="0.3">
      <c r="A9" s="3" t="s">
        <v>32</v>
      </c>
      <c r="B9" s="9">
        <v>540</v>
      </c>
      <c r="C9" s="9">
        <v>1595</v>
      </c>
      <c r="D9" s="9">
        <v>4460</v>
      </c>
    </row>
    <row r="10" spans="1:9" x14ac:dyDescent="0.3">
      <c r="A10" s="4" t="s">
        <v>33</v>
      </c>
      <c r="B10" s="9">
        <v>-195</v>
      </c>
      <c r="C10" s="9">
        <v>-545</v>
      </c>
      <c r="D10" s="9">
        <v>-1388</v>
      </c>
    </row>
    <row r="11" spans="1:9" x14ac:dyDescent="0.3">
      <c r="A11" s="3" t="s">
        <v>34</v>
      </c>
      <c r="B11" s="9">
        <v>345</v>
      </c>
      <c r="C11" s="9">
        <v>1050</v>
      </c>
      <c r="D11" s="9">
        <v>3072</v>
      </c>
    </row>
    <row r="12" spans="1:9" x14ac:dyDescent="0.3">
      <c r="A12" s="4" t="s">
        <v>35</v>
      </c>
      <c r="B12" s="10">
        <v>0.63900000000000001</v>
      </c>
      <c r="C12" s="10">
        <v>0.65800000000000003</v>
      </c>
      <c r="D12" s="10">
        <v>0.68899999999999995</v>
      </c>
    </row>
    <row r="13" spans="1:9" x14ac:dyDescent="0.3">
      <c r="A13" s="4" t="s">
        <v>36</v>
      </c>
      <c r="B13" s="9">
        <v>-320</v>
      </c>
      <c r="C13" s="9">
        <v>-690</v>
      </c>
      <c r="D13" s="9">
        <v>-1320</v>
      </c>
    </row>
    <row r="14" spans="1:9" x14ac:dyDescent="0.3">
      <c r="A14" s="4" t="s">
        <v>37</v>
      </c>
      <c r="B14" s="9">
        <v>-150</v>
      </c>
      <c r="C14" s="9">
        <v>-360</v>
      </c>
      <c r="D14" s="9">
        <v>-640</v>
      </c>
    </row>
    <row r="15" spans="1:9" x14ac:dyDescent="0.3">
      <c r="A15" s="4" t="s">
        <v>38</v>
      </c>
      <c r="B15" s="9">
        <v>-240</v>
      </c>
      <c r="C15" s="9">
        <v>-450</v>
      </c>
      <c r="D15" s="9">
        <v>-760</v>
      </c>
    </row>
    <row r="16" spans="1:9" x14ac:dyDescent="0.3">
      <c r="A16" s="4" t="s">
        <v>39</v>
      </c>
      <c r="B16" s="9">
        <v>-130</v>
      </c>
      <c r="C16" s="9">
        <v>-250</v>
      </c>
      <c r="D16" s="9">
        <v>-430</v>
      </c>
    </row>
    <row r="17" spans="1:9" x14ac:dyDescent="0.3">
      <c r="A17" s="3" t="s">
        <v>40</v>
      </c>
      <c r="B17" s="9">
        <v>-495</v>
      </c>
      <c r="C17" s="9">
        <v>-700</v>
      </c>
      <c r="D17" s="9">
        <v>-78</v>
      </c>
    </row>
    <row r="18" spans="1:9" x14ac:dyDescent="0.3">
      <c r="A18" s="4" t="s">
        <v>41</v>
      </c>
      <c r="B18" s="10">
        <v>-0.91700000000000004</v>
      </c>
      <c r="C18" s="10">
        <v>-0.439</v>
      </c>
      <c r="D18" s="10">
        <v>-1.7000000000000001E-2</v>
      </c>
    </row>
    <row r="19" spans="1:9" x14ac:dyDescent="0.3">
      <c r="A19" s="4" t="s">
        <v>42</v>
      </c>
      <c r="B19" s="9">
        <v>-30</v>
      </c>
      <c r="C19" s="9">
        <v>-135</v>
      </c>
      <c r="D19" s="9">
        <v>-360</v>
      </c>
    </row>
    <row r="20" spans="1:9" x14ac:dyDescent="0.3">
      <c r="A20" s="3" t="s">
        <v>43</v>
      </c>
      <c r="B20" s="9">
        <v>-525</v>
      </c>
      <c r="C20" s="9">
        <v>-835</v>
      </c>
      <c r="D20" s="9">
        <v>-438</v>
      </c>
    </row>
    <row r="21" spans="1:9" x14ac:dyDescent="0.3">
      <c r="A21" s="4" t="s">
        <v>44</v>
      </c>
      <c r="B21" s="9">
        <v>-8</v>
      </c>
      <c r="C21" s="9">
        <v>-55</v>
      </c>
      <c r="D21" s="9">
        <v>-130</v>
      </c>
    </row>
    <row r="22" spans="1:9" x14ac:dyDescent="0.3">
      <c r="A22" s="3" t="s">
        <v>45</v>
      </c>
      <c r="B22" s="9">
        <v>-533</v>
      </c>
      <c r="C22" s="9">
        <v>-890</v>
      </c>
      <c r="D22" s="9">
        <v>-568</v>
      </c>
    </row>
    <row r="24" spans="1:9" x14ac:dyDescent="0.3">
      <c r="A24" s="7" t="s">
        <v>46</v>
      </c>
      <c r="B24" s="8"/>
      <c r="C24" s="8"/>
      <c r="D24" s="8"/>
      <c r="E24" s="8"/>
      <c r="F24" s="8"/>
      <c r="G24" s="8"/>
      <c r="H24" s="8"/>
      <c r="I24" s="8"/>
    </row>
    <row r="25" spans="1:9" x14ac:dyDescent="0.3">
      <c r="A25" s="4" t="s">
        <v>47</v>
      </c>
      <c r="B25" s="9">
        <v>675</v>
      </c>
      <c r="C25" s="9">
        <v>3050</v>
      </c>
      <c r="D25" s="9">
        <v>1367</v>
      </c>
    </row>
    <row r="26" spans="1:9" x14ac:dyDescent="0.3">
      <c r="A26" s="4" t="s">
        <v>48</v>
      </c>
      <c r="B26" s="9">
        <v>60</v>
      </c>
      <c r="C26" s="9">
        <v>190</v>
      </c>
      <c r="D26" s="9">
        <v>460</v>
      </c>
    </row>
    <row r="27" spans="1:9" x14ac:dyDescent="0.3">
      <c r="A27" s="4" t="s">
        <v>49</v>
      </c>
      <c r="B27" s="9">
        <v>80</v>
      </c>
      <c r="C27" s="9">
        <v>200</v>
      </c>
      <c r="D27" s="9">
        <v>300</v>
      </c>
    </row>
    <row r="28" spans="1:9" x14ac:dyDescent="0.3">
      <c r="A28" s="3" t="s">
        <v>50</v>
      </c>
      <c r="B28" s="9">
        <v>815</v>
      </c>
      <c r="C28" s="9">
        <v>3440</v>
      </c>
      <c r="D28" s="9">
        <v>2127</v>
      </c>
    </row>
    <row r="29" spans="1:9" x14ac:dyDescent="0.3">
      <c r="A29" s="4" t="s">
        <v>51</v>
      </c>
      <c r="B29" s="9">
        <v>150</v>
      </c>
      <c r="C29" s="9">
        <v>1515</v>
      </c>
      <c r="D29" s="9">
        <v>2955</v>
      </c>
    </row>
    <row r="30" spans="1:9" x14ac:dyDescent="0.3">
      <c r="A30" s="3" t="s">
        <v>52</v>
      </c>
      <c r="B30" s="9">
        <v>965</v>
      </c>
      <c r="C30" s="9">
        <v>4955</v>
      </c>
      <c r="D30" s="9">
        <v>5082</v>
      </c>
    </row>
    <row r="31" spans="1:9" x14ac:dyDescent="0.3">
      <c r="A31" s="4" t="s">
        <v>53</v>
      </c>
      <c r="B31" s="9">
        <v>70</v>
      </c>
      <c r="C31" s="9">
        <v>180</v>
      </c>
      <c r="D31" s="9">
        <v>320</v>
      </c>
    </row>
    <row r="32" spans="1:9" x14ac:dyDescent="0.3">
      <c r="A32" s="4" t="s">
        <v>54</v>
      </c>
      <c r="B32" s="9">
        <v>40</v>
      </c>
      <c r="C32" s="9">
        <v>110</v>
      </c>
      <c r="D32" s="9">
        <v>185</v>
      </c>
    </row>
    <row r="33" spans="1:9" x14ac:dyDescent="0.3">
      <c r="A33" s="4" t="s">
        <v>55</v>
      </c>
      <c r="B33" s="9">
        <v>120</v>
      </c>
      <c r="C33" s="9">
        <v>620</v>
      </c>
      <c r="D33" s="9">
        <v>1100</v>
      </c>
    </row>
    <row r="34" spans="1:9" x14ac:dyDescent="0.3">
      <c r="A34" s="3" t="s">
        <v>56</v>
      </c>
      <c r="B34" s="9">
        <v>230</v>
      </c>
      <c r="C34" s="9">
        <v>910</v>
      </c>
      <c r="D34" s="9">
        <v>1605</v>
      </c>
    </row>
    <row r="35" spans="1:9" x14ac:dyDescent="0.3">
      <c r="A35" s="4" t="s">
        <v>57</v>
      </c>
      <c r="B35" s="9">
        <v>1150</v>
      </c>
      <c r="C35" s="9">
        <v>5350</v>
      </c>
      <c r="D35" s="9">
        <v>5350</v>
      </c>
    </row>
    <row r="36" spans="1:9" x14ac:dyDescent="0.3">
      <c r="A36" s="4" t="s">
        <v>58</v>
      </c>
      <c r="B36" s="9">
        <v>-415</v>
      </c>
      <c r="C36" s="9">
        <v>-1305</v>
      </c>
      <c r="D36" s="9">
        <v>-1873</v>
      </c>
    </row>
    <row r="37" spans="1:9" x14ac:dyDescent="0.3">
      <c r="A37" s="3" t="s">
        <v>59</v>
      </c>
      <c r="B37" s="9">
        <v>735</v>
      </c>
      <c r="C37" s="9">
        <v>4045</v>
      </c>
      <c r="D37" s="9">
        <v>3477</v>
      </c>
    </row>
    <row r="39" spans="1:9" x14ac:dyDescent="0.3">
      <c r="A39" s="7" t="s">
        <v>60</v>
      </c>
      <c r="B39" s="8"/>
      <c r="C39" s="8"/>
      <c r="D39" s="8"/>
      <c r="E39" s="8"/>
      <c r="F39" s="8"/>
      <c r="G39" s="8"/>
      <c r="H39" s="8"/>
      <c r="I39" s="8"/>
    </row>
    <row r="40" spans="1:9" x14ac:dyDescent="0.3">
      <c r="A40" s="4" t="s">
        <v>61</v>
      </c>
      <c r="B40" s="9">
        <v>-533</v>
      </c>
      <c r="C40" s="9">
        <v>-890</v>
      </c>
      <c r="D40" s="9">
        <v>-568</v>
      </c>
    </row>
    <row r="41" spans="1:9" x14ac:dyDescent="0.3">
      <c r="A41" s="4" t="s">
        <v>62</v>
      </c>
      <c r="B41" s="9">
        <v>30</v>
      </c>
      <c r="C41" s="9">
        <v>135</v>
      </c>
      <c r="D41" s="9">
        <v>360</v>
      </c>
    </row>
    <row r="42" spans="1:9" x14ac:dyDescent="0.3">
      <c r="A42" s="4" t="s">
        <v>63</v>
      </c>
      <c r="B42" s="9">
        <v>-17</v>
      </c>
      <c r="C42" s="9">
        <v>-70</v>
      </c>
      <c r="D42" s="9">
        <v>-155</v>
      </c>
    </row>
    <row r="43" spans="1:9" x14ac:dyDescent="0.3">
      <c r="A43" s="3" t="s">
        <v>64</v>
      </c>
      <c r="B43" s="9">
        <v>-520</v>
      </c>
      <c r="C43" s="9">
        <v>-825</v>
      </c>
      <c r="D43" s="9">
        <v>-363</v>
      </c>
    </row>
    <row r="44" spans="1:9" x14ac:dyDescent="0.3">
      <c r="A44" s="4" t="s">
        <v>65</v>
      </c>
      <c r="B44" s="9">
        <v>-110</v>
      </c>
      <c r="C44" s="9">
        <v>-1500</v>
      </c>
      <c r="D44" s="9">
        <v>-1800</v>
      </c>
    </row>
    <row r="45" spans="1:9" x14ac:dyDescent="0.3">
      <c r="A45" s="3" t="s">
        <v>66</v>
      </c>
      <c r="B45" s="9">
        <v>-110</v>
      </c>
      <c r="C45" s="9">
        <v>-1500</v>
      </c>
      <c r="D45" s="9">
        <v>-1800</v>
      </c>
    </row>
    <row r="46" spans="1:9" x14ac:dyDescent="0.3">
      <c r="A46" s="4" t="s">
        <v>67</v>
      </c>
      <c r="B46" s="9">
        <v>0</v>
      </c>
      <c r="C46" s="9">
        <v>4200</v>
      </c>
      <c r="D46" s="9">
        <v>0</v>
      </c>
    </row>
    <row r="47" spans="1:9" x14ac:dyDescent="0.3">
      <c r="A47" s="4" t="s">
        <v>68</v>
      </c>
      <c r="B47" s="9">
        <v>105</v>
      </c>
      <c r="C47" s="9">
        <v>500</v>
      </c>
      <c r="D47" s="9">
        <v>480</v>
      </c>
    </row>
    <row r="48" spans="1:9" x14ac:dyDescent="0.3">
      <c r="A48" s="3" t="s">
        <v>69</v>
      </c>
      <c r="B48" s="9">
        <v>105</v>
      </c>
      <c r="C48" s="9">
        <v>4700</v>
      </c>
      <c r="D48" s="9">
        <v>480</v>
      </c>
    </row>
    <row r="49" spans="1:9" x14ac:dyDescent="0.3">
      <c r="A49" s="3" t="s">
        <v>70</v>
      </c>
      <c r="B49" s="9">
        <v>-525</v>
      </c>
      <c r="C49" s="9">
        <v>2375</v>
      </c>
      <c r="D49" s="9">
        <v>-1683</v>
      </c>
    </row>
    <row r="51" spans="1:9" x14ac:dyDescent="0.3">
      <c r="A51" s="7" t="s">
        <v>71</v>
      </c>
      <c r="B51" s="8"/>
      <c r="C51" s="8"/>
      <c r="D51" s="8"/>
      <c r="E51" s="8"/>
      <c r="F51" s="8"/>
      <c r="G51" s="8"/>
      <c r="H51" s="8"/>
      <c r="I51" s="8"/>
    </row>
    <row r="52" spans="1:9" x14ac:dyDescent="0.3">
      <c r="A52" s="4" t="s">
        <v>72</v>
      </c>
      <c r="B52" s="11">
        <v>45</v>
      </c>
      <c r="C52" s="11">
        <v>105</v>
      </c>
      <c r="D52" s="11">
        <v>195</v>
      </c>
    </row>
    <row r="53" spans="1:9" x14ac:dyDescent="0.3">
      <c r="A53" s="4" t="s">
        <v>73</v>
      </c>
      <c r="B53" s="11">
        <v>0</v>
      </c>
      <c r="C53" s="11">
        <v>18</v>
      </c>
      <c r="D53" s="11">
        <v>40</v>
      </c>
    </row>
    <row r="54" spans="1:9" x14ac:dyDescent="0.3">
      <c r="A54" s="4" t="s">
        <v>74</v>
      </c>
      <c r="B54" s="11">
        <v>28000</v>
      </c>
      <c r="C54" s="11">
        <v>100000</v>
      </c>
      <c r="D54" s="11">
        <v>265000</v>
      </c>
    </row>
    <row r="55" spans="1:9" x14ac:dyDescent="0.3">
      <c r="A55" s="4" t="s">
        <v>75</v>
      </c>
      <c r="B55" s="11">
        <v>3200</v>
      </c>
      <c r="C55" s="11">
        <v>13500</v>
      </c>
      <c r="D55" s="11">
        <v>34800</v>
      </c>
    </row>
    <row r="56" spans="1:9" x14ac:dyDescent="0.3">
      <c r="A56" s="4" t="s">
        <v>76</v>
      </c>
      <c r="B56" s="9">
        <v>38</v>
      </c>
      <c r="C56" s="9">
        <v>148</v>
      </c>
      <c r="D56" s="9">
        <v>390</v>
      </c>
    </row>
    <row r="57" spans="1:9" x14ac:dyDescent="0.3">
      <c r="A57" s="4" t="s">
        <v>77</v>
      </c>
      <c r="B57" s="9">
        <v>38</v>
      </c>
      <c r="C57" s="9">
        <v>110</v>
      </c>
      <c r="D57" s="9">
        <v>242</v>
      </c>
    </row>
    <row r="58" spans="1:9" x14ac:dyDescent="0.3">
      <c r="A58" s="4" t="s">
        <v>78</v>
      </c>
      <c r="B58" s="10">
        <v>3.7999999999999999E-2</v>
      </c>
      <c r="C58" s="10">
        <v>2.5999999999999999E-2</v>
      </c>
      <c r="D58" s="10">
        <v>1.6E-2</v>
      </c>
    </row>
    <row r="59" spans="1:9" x14ac:dyDescent="0.3">
      <c r="A59" s="4" t="s">
        <v>79</v>
      </c>
      <c r="B59" s="10">
        <v>3.7999999999999999E-2</v>
      </c>
      <c r="C59" s="10">
        <v>2.8000000000000001E-2</v>
      </c>
      <c r="D59" s="10">
        <v>2.1000000000000001E-2</v>
      </c>
    </row>
    <row r="60" spans="1:9" x14ac:dyDescent="0.3">
      <c r="A60" s="4" t="s">
        <v>80</v>
      </c>
      <c r="C60" s="10">
        <v>1.4E-2</v>
      </c>
      <c r="D60" s="10">
        <v>8.9999999999999993E-3</v>
      </c>
    </row>
    <row r="61" spans="1:9" x14ac:dyDescent="0.3">
      <c r="A61" s="4" t="s">
        <v>81</v>
      </c>
      <c r="C61" s="10">
        <v>0.44</v>
      </c>
      <c r="D61" s="10">
        <v>0.7</v>
      </c>
    </row>
    <row r="63" spans="1:9" x14ac:dyDescent="0.3">
      <c r="A63" s="7" t="s">
        <v>82</v>
      </c>
      <c r="B63" s="8"/>
      <c r="C63" s="8"/>
      <c r="D63" s="8"/>
      <c r="E63" s="8"/>
      <c r="F63" s="8"/>
      <c r="G63" s="8"/>
      <c r="H63" s="8"/>
      <c r="I63" s="8"/>
    </row>
    <row r="64" spans="1:9" x14ac:dyDescent="0.3">
      <c r="A64" s="4" t="s">
        <v>83</v>
      </c>
      <c r="D64" s="11">
        <v>117800</v>
      </c>
    </row>
    <row r="65" spans="1:9" x14ac:dyDescent="0.3">
      <c r="A65" s="4" t="s">
        <v>84</v>
      </c>
      <c r="D65" s="12">
        <v>6.3100000000000003E-2</v>
      </c>
    </row>
    <row r="66" spans="1:9" x14ac:dyDescent="0.3">
      <c r="A66" s="4" t="s">
        <v>85</v>
      </c>
      <c r="D66" s="11">
        <v>2650</v>
      </c>
    </row>
    <row r="67" spans="1:9" x14ac:dyDescent="0.3">
      <c r="A67" s="4" t="s">
        <v>86</v>
      </c>
      <c r="D67" s="11">
        <v>8830</v>
      </c>
    </row>
    <row r="68" spans="1:9" x14ac:dyDescent="0.3">
      <c r="A68" s="4" t="s">
        <v>87</v>
      </c>
      <c r="D68" s="13">
        <v>3.33</v>
      </c>
    </row>
    <row r="69" spans="1:9" x14ac:dyDescent="0.3">
      <c r="A69" s="4" t="s">
        <v>88</v>
      </c>
      <c r="D69" s="11">
        <v>29404</v>
      </c>
    </row>
    <row r="70" spans="1:9" x14ac:dyDescent="0.3">
      <c r="A70" s="4" t="s">
        <v>89</v>
      </c>
      <c r="D70" s="14">
        <v>11.1</v>
      </c>
    </row>
    <row r="71" spans="1:9" x14ac:dyDescent="0.3">
      <c r="A71" s="4" t="s">
        <v>90</v>
      </c>
      <c r="D71" s="13">
        <v>3.6</v>
      </c>
    </row>
    <row r="73" spans="1:9" x14ac:dyDescent="0.3">
      <c r="A73" s="7" t="s">
        <v>91</v>
      </c>
      <c r="B73" s="8"/>
      <c r="C73" s="8"/>
      <c r="D73" s="8"/>
      <c r="E73" s="8"/>
      <c r="F73" s="8"/>
      <c r="G73" s="8"/>
      <c r="H73" s="8"/>
      <c r="I73" s="8"/>
    </row>
    <row r="74" spans="1:9" x14ac:dyDescent="0.3">
      <c r="A74" s="4" t="s">
        <v>92</v>
      </c>
      <c r="E74" s="9">
        <f>CHOOSE(Valuation!$C$43,Valuation!B72,Valuation!B73,Valuation!B74)</f>
        <v>436</v>
      </c>
      <c r="F74" s="9">
        <f>CHOOSE(Valuation!$C$43,Valuation!C72,Valuation!C73,Valuation!C74)</f>
        <v>698</v>
      </c>
      <c r="G74" s="9">
        <f>CHOOSE(Valuation!$C$43,Valuation!D72,Valuation!D73,Valuation!D74)</f>
        <v>1047</v>
      </c>
      <c r="H74" s="9">
        <f>CHOOSE(Valuation!$C$43,Valuation!E72,Valuation!E73,Valuation!E74)</f>
        <v>1466</v>
      </c>
      <c r="I74" s="9">
        <f>CHOOSE(Valuation!$C$43,Valuation!F72,Valuation!F73,Valuation!F74)</f>
        <v>1979</v>
      </c>
    </row>
    <row r="75" spans="1:9" x14ac:dyDescent="0.3">
      <c r="A75" s="4" t="s">
        <v>93</v>
      </c>
      <c r="E75" s="10">
        <f>CHOOSE(Valuation!$C$43,Valuation!B77,Valuation!B78,Valuation!B79)</f>
        <v>6.5000000000000002E-2</v>
      </c>
      <c r="F75" s="10">
        <f>CHOOSE(Valuation!$C$43,Valuation!C77,Valuation!C78,Valuation!C79)</f>
        <v>6.7000000000000004E-2</v>
      </c>
      <c r="G75" s="10">
        <f>CHOOSE(Valuation!$C$43,Valuation!D77,Valuation!D78,Valuation!D79)</f>
        <v>6.9000000000000006E-2</v>
      </c>
      <c r="H75" s="10">
        <f>CHOOSE(Valuation!$C$43,Valuation!E77,Valuation!E78,Valuation!E79)</f>
        <v>7.0000000000000007E-2</v>
      </c>
      <c r="I75" s="10">
        <f>CHOOSE(Valuation!$C$43,Valuation!F77,Valuation!F78,Valuation!F79)</f>
        <v>7.0999999999999994E-2</v>
      </c>
    </row>
    <row r="76" spans="1:9" x14ac:dyDescent="0.3">
      <c r="A76" s="4" t="s">
        <v>72</v>
      </c>
      <c r="E76" s="11">
        <v>280</v>
      </c>
      <c r="F76" s="11">
        <v>400</v>
      </c>
      <c r="G76" s="11">
        <v>520</v>
      </c>
      <c r="H76" s="11">
        <v>620</v>
      </c>
      <c r="I76" s="11">
        <v>700</v>
      </c>
    </row>
    <row r="77" spans="1:9" x14ac:dyDescent="0.3">
      <c r="A77" s="4" t="s">
        <v>94</v>
      </c>
      <c r="E77" s="13">
        <v>2.5</v>
      </c>
      <c r="F77" s="13">
        <v>2.6</v>
      </c>
      <c r="G77" s="13">
        <v>2.7</v>
      </c>
      <c r="H77" s="13">
        <v>2.8</v>
      </c>
      <c r="I77" s="13">
        <v>2.9</v>
      </c>
    </row>
    <row r="78" spans="1:9" x14ac:dyDescent="0.3">
      <c r="A78" s="4" t="s">
        <v>95</v>
      </c>
      <c r="E78" s="10">
        <v>0.93</v>
      </c>
      <c r="F78" s="10">
        <v>0.93</v>
      </c>
      <c r="G78" s="10">
        <v>0.93</v>
      </c>
      <c r="H78" s="10">
        <v>0.93</v>
      </c>
      <c r="I78" s="10">
        <v>0.93</v>
      </c>
    </row>
    <row r="79" spans="1:9" x14ac:dyDescent="0.3">
      <c r="A79" s="4" t="s">
        <v>96</v>
      </c>
      <c r="E79" s="10">
        <v>0.04</v>
      </c>
      <c r="F79" s="10">
        <v>4.1000000000000002E-2</v>
      </c>
      <c r="G79" s="10">
        <v>4.2000000000000003E-2</v>
      </c>
      <c r="H79" s="10">
        <v>4.2999999999999997E-2</v>
      </c>
      <c r="I79" s="10">
        <v>4.3999999999999997E-2</v>
      </c>
    </row>
    <row r="80" spans="1:9" x14ac:dyDescent="0.3">
      <c r="A80" s="4" t="s">
        <v>73</v>
      </c>
      <c r="E80" s="11">
        <v>70</v>
      </c>
      <c r="F80" s="11">
        <v>110</v>
      </c>
      <c r="G80" s="11">
        <v>160</v>
      </c>
      <c r="H80" s="11">
        <v>220</v>
      </c>
      <c r="I80" s="11">
        <v>290</v>
      </c>
    </row>
    <row r="81" spans="1:9" x14ac:dyDescent="0.3">
      <c r="A81" s="4" t="s">
        <v>97</v>
      </c>
      <c r="E81" s="13">
        <f>CHOOSE(Valuation!$C$43,Valuation!B82,Valuation!B83,Valuation!B84)</f>
        <v>17</v>
      </c>
      <c r="F81" s="13">
        <f>CHOOSE(Valuation!$C$43,Valuation!C82,Valuation!C83,Valuation!C84)</f>
        <v>19</v>
      </c>
      <c r="G81" s="13">
        <f>CHOOSE(Valuation!$C$43,Valuation!D82,Valuation!D83,Valuation!D84)</f>
        <v>21</v>
      </c>
      <c r="H81" s="13">
        <f>CHOOSE(Valuation!$C$43,Valuation!E82,Valuation!E83,Valuation!E84)</f>
        <v>23</v>
      </c>
      <c r="I81" s="13">
        <f>CHOOSE(Valuation!$C$43,Valuation!F82,Valuation!F83,Valuation!F84)</f>
        <v>25</v>
      </c>
    </row>
    <row r="82" spans="1:9" x14ac:dyDescent="0.3">
      <c r="A82" s="4" t="s">
        <v>35</v>
      </c>
      <c r="E82" s="10">
        <f>CHOOSE(Valuation!$C$43,Valuation!B92,Valuation!B93,Valuation!B94)</f>
        <v>0.7</v>
      </c>
      <c r="F82" s="10">
        <f>CHOOSE(Valuation!$C$43,Valuation!C92,Valuation!C93,Valuation!C94)</f>
        <v>0.71</v>
      </c>
      <c r="G82" s="10">
        <f>CHOOSE(Valuation!$C$43,Valuation!D92,Valuation!D93,Valuation!D94)</f>
        <v>0.72</v>
      </c>
      <c r="H82" s="10">
        <f>CHOOSE(Valuation!$C$43,Valuation!E92,Valuation!E93,Valuation!E94)</f>
        <v>0.73</v>
      </c>
      <c r="I82" s="10">
        <f>CHOOSE(Valuation!$C$43,Valuation!F92,Valuation!F93,Valuation!F94)</f>
        <v>0.74</v>
      </c>
    </row>
    <row r="83" spans="1:9" x14ac:dyDescent="0.3">
      <c r="A83" s="4" t="s">
        <v>98</v>
      </c>
      <c r="E83" s="10">
        <v>0.27</v>
      </c>
      <c r="F83" s="10">
        <v>0.23</v>
      </c>
      <c r="G83" s="10">
        <v>0.2</v>
      </c>
      <c r="H83" s="10">
        <v>0.18</v>
      </c>
      <c r="I83" s="10">
        <v>0.16</v>
      </c>
    </row>
    <row r="84" spans="1:9" x14ac:dyDescent="0.3">
      <c r="A84" s="4" t="s">
        <v>99</v>
      </c>
      <c r="E84" s="10">
        <v>0.14000000000000001</v>
      </c>
      <c r="F84" s="10">
        <v>0.12</v>
      </c>
      <c r="G84" s="10">
        <v>0.1</v>
      </c>
      <c r="H84" s="10">
        <v>0.09</v>
      </c>
      <c r="I84" s="10">
        <v>0.08</v>
      </c>
    </row>
    <row r="85" spans="1:9" x14ac:dyDescent="0.3">
      <c r="A85" s="4" t="s">
        <v>100</v>
      </c>
      <c r="E85" s="10">
        <v>0.16</v>
      </c>
      <c r="F85" s="10">
        <v>0.14000000000000001</v>
      </c>
      <c r="G85" s="10">
        <v>0.12</v>
      </c>
      <c r="H85" s="10">
        <v>0.11</v>
      </c>
      <c r="I85" s="10">
        <v>0.1</v>
      </c>
    </row>
    <row r="86" spans="1:9" x14ac:dyDescent="0.3">
      <c r="A86" s="4" t="s">
        <v>101</v>
      </c>
      <c r="E86" s="10">
        <v>0.09</v>
      </c>
      <c r="F86" s="10">
        <v>0.08</v>
      </c>
      <c r="G86" s="10">
        <v>7.0000000000000007E-2</v>
      </c>
      <c r="H86" s="10">
        <v>6.5000000000000002E-2</v>
      </c>
      <c r="I86" s="10">
        <v>0.06</v>
      </c>
    </row>
    <row r="87" spans="1:9" x14ac:dyDescent="0.3">
      <c r="A87" s="4" t="s">
        <v>102</v>
      </c>
      <c r="E87" s="9">
        <f>CHOOSE(Valuation!$C$43,Valuation!B87,Valuation!B88,Valuation!B89)</f>
        <v>2300</v>
      </c>
      <c r="F87" s="9">
        <f>CHOOSE(Valuation!$C$43,Valuation!C87,Valuation!C88,Valuation!C89)</f>
        <v>3000</v>
      </c>
      <c r="G87" s="9">
        <f>CHOOSE(Valuation!$C$43,Valuation!D87,Valuation!D88,Valuation!D89)</f>
        <v>3700</v>
      </c>
      <c r="H87" s="9">
        <f>CHOOSE(Valuation!$C$43,Valuation!E87,Valuation!E88,Valuation!E89)</f>
        <v>4400</v>
      </c>
      <c r="I87" s="9">
        <f>CHOOSE(Valuation!$C$43,Valuation!F87,Valuation!F88,Valuation!F89)</f>
        <v>5100</v>
      </c>
    </row>
    <row r="88" spans="1:9" x14ac:dyDescent="0.3">
      <c r="A88" s="4" t="s">
        <v>291</v>
      </c>
      <c r="E88" s="123">
        <v>0.1</v>
      </c>
      <c r="F88" s="123">
        <v>0.1</v>
      </c>
      <c r="G88" s="123">
        <v>0.1</v>
      </c>
      <c r="H88" s="123">
        <v>0.1</v>
      </c>
      <c r="I88" s="123">
        <v>0.1</v>
      </c>
    </row>
    <row r="89" spans="1:9" x14ac:dyDescent="0.3">
      <c r="A89" s="4" t="s">
        <v>103</v>
      </c>
      <c r="E89" s="9">
        <v>1300</v>
      </c>
      <c r="F89" s="9">
        <v>1500</v>
      </c>
      <c r="G89" s="9">
        <v>1700</v>
      </c>
      <c r="H89" s="9">
        <v>1900</v>
      </c>
      <c r="I89" s="9">
        <v>2100</v>
      </c>
    </row>
    <row r="90" spans="1:9" x14ac:dyDescent="0.3">
      <c r="A90" s="4" t="s">
        <v>104</v>
      </c>
      <c r="E90" s="10">
        <v>0.15</v>
      </c>
      <c r="F90" s="10">
        <v>0.15</v>
      </c>
      <c r="G90" s="10">
        <v>0.15</v>
      </c>
      <c r="H90" s="10">
        <v>0.15</v>
      </c>
      <c r="I90" s="10">
        <v>0.15</v>
      </c>
    </row>
    <row r="91" spans="1:9" x14ac:dyDescent="0.3">
      <c r="A91" s="4" t="s">
        <v>105</v>
      </c>
      <c r="E91" s="10">
        <v>0.25</v>
      </c>
      <c r="F91" s="10">
        <v>0.25</v>
      </c>
      <c r="G91" s="10">
        <v>0.25</v>
      </c>
      <c r="H91" s="10">
        <v>0.25</v>
      </c>
      <c r="I91" s="10">
        <v>0.25</v>
      </c>
    </row>
    <row r="92" spans="1:9" x14ac:dyDescent="0.3">
      <c r="A92" s="4" t="s">
        <v>106</v>
      </c>
      <c r="E92" s="10">
        <v>0.1</v>
      </c>
      <c r="F92" s="10">
        <v>0.1</v>
      </c>
      <c r="G92" s="10">
        <v>0.1</v>
      </c>
      <c r="H92" s="10">
        <v>0.1</v>
      </c>
      <c r="I92" s="10">
        <v>0.1</v>
      </c>
    </row>
    <row r="93" spans="1:9" x14ac:dyDescent="0.3">
      <c r="A93" s="4" t="s">
        <v>107</v>
      </c>
      <c r="E93" s="10">
        <v>7.0000000000000007E-2</v>
      </c>
      <c r="F93" s="10">
        <v>7.0000000000000007E-2</v>
      </c>
      <c r="G93" s="10">
        <v>7.0000000000000007E-2</v>
      </c>
      <c r="H93" s="10">
        <v>7.0000000000000007E-2</v>
      </c>
      <c r="I93" s="10">
        <v>7.0000000000000007E-2</v>
      </c>
    </row>
    <row r="94" spans="1:9" x14ac:dyDescent="0.3">
      <c r="A94" s="23" t="s">
        <v>214</v>
      </c>
      <c r="E94" s="10">
        <v>6.5000000000000002E-2</v>
      </c>
      <c r="F94" s="10">
        <v>0.06</v>
      </c>
      <c r="G94" s="10">
        <v>5.5E-2</v>
      </c>
      <c r="H94" s="10">
        <v>0.05</v>
      </c>
      <c r="I94" s="10">
        <v>4.4999999999999998E-2</v>
      </c>
    </row>
    <row r="95" spans="1:9" x14ac:dyDescent="0.3">
      <c r="A95" s="23" t="s">
        <v>278</v>
      </c>
      <c r="E95" s="10">
        <v>0.04</v>
      </c>
      <c r="F95" s="10">
        <v>0.04</v>
      </c>
      <c r="G95" s="10">
        <v>0.04</v>
      </c>
      <c r="H95" s="10">
        <v>0.04</v>
      </c>
      <c r="I95" s="10">
        <v>0.04</v>
      </c>
    </row>
    <row r="96" spans="1:9" x14ac:dyDescent="0.3">
      <c r="A96" s="4" t="s">
        <v>108</v>
      </c>
      <c r="E96" s="9">
        <v>140</v>
      </c>
    </row>
    <row r="98" spans="1:9" x14ac:dyDescent="0.3">
      <c r="A98" s="7" t="s">
        <v>109</v>
      </c>
      <c r="B98" s="8"/>
      <c r="C98" s="8"/>
      <c r="D98" s="8"/>
      <c r="E98" s="8"/>
      <c r="F98" s="8"/>
      <c r="G98" s="8"/>
      <c r="H98" s="8"/>
      <c r="I98" s="8"/>
    </row>
    <row r="99" spans="1:9" x14ac:dyDescent="0.3">
      <c r="A99" s="4" t="s">
        <v>110</v>
      </c>
      <c r="B99" s="11">
        <v>840000</v>
      </c>
    </row>
    <row r="100" spans="1:9" x14ac:dyDescent="0.3">
      <c r="A100" s="4" t="s">
        <v>111</v>
      </c>
      <c r="B100" s="11">
        <v>240000</v>
      </c>
    </row>
    <row r="101" spans="1:9" x14ac:dyDescent="0.3">
      <c r="A101" s="4" t="s">
        <v>112</v>
      </c>
      <c r="B101" s="11">
        <v>6000</v>
      </c>
    </row>
    <row r="103" spans="1:9" x14ac:dyDescent="0.3">
      <c r="A103" s="7" t="s">
        <v>113</v>
      </c>
      <c r="B103" s="8"/>
      <c r="C103" s="8"/>
      <c r="D103" s="8"/>
      <c r="E103" s="8"/>
      <c r="F103" s="8"/>
      <c r="G103" s="8"/>
      <c r="H103" s="8"/>
      <c r="I103" s="8"/>
    </row>
    <row r="104" spans="1:9" x14ac:dyDescent="0.3">
      <c r="A104" s="4" t="s">
        <v>114</v>
      </c>
      <c r="B104" s="9">
        <v>2.5</v>
      </c>
      <c r="C104" s="9">
        <v>14</v>
      </c>
    </row>
    <row r="105" spans="1:9" x14ac:dyDescent="0.3">
      <c r="A105" s="4" t="s">
        <v>115</v>
      </c>
      <c r="B105" s="9">
        <v>9</v>
      </c>
      <c r="C105" s="9">
        <v>52</v>
      </c>
    </row>
    <row r="106" spans="1:9" x14ac:dyDescent="0.3">
      <c r="A106" s="4" t="s">
        <v>116</v>
      </c>
      <c r="B106" s="9">
        <v>42</v>
      </c>
      <c r="C106" s="9">
        <v>268</v>
      </c>
    </row>
    <row r="107" spans="1:9" x14ac:dyDescent="0.3">
      <c r="A107" s="4" t="s">
        <v>117</v>
      </c>
      <c r="B107" s="9">
        <v>140</v>
      </c>
    </row>
    <row r="109" spans="1:9" x14ac:dyDescent="0.3">
      <c r="A109" s="7" t="s">
        <v>118</v>
      </c>
      <c r="B109" s="8"/>
      <c r="C109" s="8"/>
      <c r="D109" s="8"/>
      <c r="E109" s="8"/>
      <c r="F109" s="8"/>
      <c r="G109" s="8"/>
      <c r="H109" s="8"/>
      <c r="I109" s="8"/>
    </row>
    <row r="110" spans="1:9" x14ac:dyDescent="0.3">
      <c r="A110" s="4" t="s">
        <v>119</v>
      </c>
      <c r="B110" s="10">
        <v>0.23</v>
      </c>
    </row>
    <row r="111" spans="1:9" x14ac:dyDescent="0.3">
      <c r="A111" s="4" t="s">
        <v>120</v>
      </c>
      <c r="B111" s="10">
        <v>0.19</v>
      </c>
    </row>
    <row r="112" spans="1:9" x14ac:dyDescent="0.3">
      <c r="A112" s="4" t="s">
        <v>121</v>
      </c>
      <c r="B112" s="10">
        <v>0.13</v>
      </c>
    </row>
    <row r="113" spans="1:2" x14ac:dyDescent="0.3">
      <c r="A113" s="4" t="s">
        <v>122</v>
      </c>
      <c r="B113" s="10">
        <v>0.1</v>
      </c>
    </row>
    <row r="114" spans="1:2" x14ac:dyDescent="0.3">
      <c r="A114" s="4" t="s">
        <v>123</v>
      </c>
      <c r="B114" s="10">
        <v>4.4999999999999998E-2</v>
      </c>
    </row>
    <row r="115" spans="1:2" x14ac:dyDescent="0.3">
      <c r="A115" s="4" t="s">
        <v>124</v>
      </c>
      <c r="B115" s="10">
        <v>0.125</v>
      </c>
    </row>
    <row r="116" spans="1:2" x14ac:dyDescent="0.3">
      <c r="A116" s="4" t="s">
        <v>125</v>
      </c>
      <c r="B116" s="10">
        <v>0.15</v>
      </c>
    </row>
    <row r="117" spans="1:2" x14ac:dyDescent="0.3">
      <c r="A117" s="4" t="s">
        <v>126</v>
      </c>
      <c r="B117" s="10">
        <v>0.03</v>
      </c>
    </row>
    <row r="118" spans="1:2" x14ac:dyDescent="0.3">
      <c r="A118" s="3" t="s">
        <v>127</v>
      </c>
      <c r="B118" s="10">
        <v>1</v>
      </c>
    </row>
    <row r="119" spans="1:2" x14ac:dyDescent="0.3">
      <c r="A119" s="4" t="s">
        <v>128</v>
      </c>
      <c r="B119" s="10">
        <v>0.03</v>
      </c>
    </row>
  </sheetData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K8" sqref="K8"/>
    </sheetView>
  </sheetViews>
  <sheetFormatPr defaultRowHeight="14.4" x14ac:dyDescent="0.3"/>
  <cols>
    <col min="1" max="1" width="46" customWidth="1"/>
    <col min="2" max="6" width="13" customWidth="1"/>
  </cols>
  <sheetData>
    <row r="1" spans="1:6" ht="17.399999999999999" x14ac:dyDescent="0.3">
      <c r="A1" s="1" t="s">
        <v>270</v>
      </c>
    </row>
    <row r="2" spans="1:6" x14ac:dyDescent="0.3">
      <c r="A2" s="5" t="s">
        <v>18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</row>
    <row r="4" spans="1:6" x14ac:dyDescent="0.3">
      <c r="A4" s="7" t="s">
        <v>129</v>
      </c>
      <c r="B4" s="8"/>
      <c r="C4" s="8"/>
      <c r="D4" s="8"/>
      <c r="E4" s="8"/>
      <c r="F4" s="8"/>
    </row>
    <row r="5" spans="1:6" x14ac:dyDescent="0.3">
      <c r="A5" s="4" t="s">
        <v>92</v>
      </c>
      <c r="B5" s="17">
        <f>Assumptions!E74</f>
        <v>436</v>
      </c>
      <c r="C5" s="17">
        <f>Assumptions!F74</f>
        <v>698</v>
      </c>
      <c r="D5" s="17">
        <f>Assumptions!G74</f>
        <v>1047</v>
      </c>
      <c r="E5" s="17">
        <f>Assumptions!H74</f>
        <v>1466</v>
      </c>
      <c r="F5" s="17">
        <f>Assumptions!I74</f>
        <v>1979</v>
      </c>
    </row>
    <row r="6" spans="1:6" x14ac:dyDescent="0.3">
      <c r="A6" s="4" t="s">
        <v>93</v>
      </c>
      <c r="B6" s="90">
        <f>Assumptions!E75</f>
        <v>6.5000000000000002E-2</v>
      </c>
      <c r="C6" s="90">
        <f>Assumptions!F75</f>
        <v>6.7000000000000004E-2</v>
      </c>
      <c r="D6" s="90">
        <f>Assumptions!G75</f>
        <v>6.9000000000000006E-2</v>
      </c>
      <c r="E6" s="90">
        <f>Assumptions!H75</f>
        <v>7.0000000000000007E-2</v>
      </c>
      <c r="F6" s="90">
        <f>Assumptions!I75</f>
        <v>7.0999999999999994E-2</v>
      </c>
    </row>
    <row r="7" spans="1:6" x14ac:dyDescent="0.3">
      <c r="A7" s="4" t="s">
        <v>130</v>
      </c>
      <c r="B7" s="17">
        <f>B5*B6*100</f>
        <v>2834</v>
      </c>
      <c r="C7" s="17">
        <f t="shared" ref="C7:F7" si="0">C5*C6*100</f>
        <v>4676.6000000000004</v>
      </c>
      <c r="D7" s="17">
        <f t="shared" si="0"/>
        <v>7224.3000000000011</v>
      </c>
      <c r="E7" s="17">
        <f t="shared" si="0"/>
        <v>10262</v>
      </c>
      <c r="F7" s="17">
        <f t="shared" si="0"/>
        <v>14050.899999999998</v>
      </c>
    </row>
    <row r="8" spans="1:6" x14ac:dyDescent="0.3">
      <c r="B8" s="18"/>
      <c r="C8" s="18"/>
      <c r="D8" s="18"/>
      <c r="E8" s="18"/>
      <c r="F8" s="18"/>
    </row>
    <row r="9" spans="1:6" x14ac:dyDescent="0.3">
      <c r="A9" s="7" t="s">
        <v>131</v>
      </c>
      <c r="B9" s="19"/>
      <c r="C9" s="19"/>
      <c r="D9" s="19"/>
      <c r="E9" s="19"/>
      <c r="F9" s="19"/>
    </row>
    <row r="10" spans="1:6" x14ac:dyDescent="0.3">
      <c r="A10" s="4" t="s">
        <v>72</v>
      </c>
      <c r="B10" s="17">
        <f>Assumptions!E76</f>
        <v>280</v>
      </c>
      <c r="C10" s="17">
        <f>Assumptions!F76</f>
        <v>400</v>
      </c>
      <c r="D10" s="17">
        <f>Assumptions!G76</f>
        <v>520</v>
      </c>
      <c r="E10" s="17">
        <f>Assumptions!H76</f>
        <v>620</v>
      </c>
      <c r="F10" s="17">
        <f>Assumptions!I76</f>
        <v>700</v>
      </c>
    </row>
    <row r="11" spans="1:6" x14ac:dyDescent="0.3">
      <c r="A11" s="4" t="s">
        <v>132</v>
      </c>
      <c r="B11" s="17">
        <f>Assumptions!E77</f>
        <v>2.5</v>
      </c>
      <c r="C11" s="17">
        <f>Assumptions!F77</f>
        <v>2.6</v>
      </c>
      <c r="D11" s="17">
        <f>Assumptions!G77</f>
        <v>2.7</v>
      </c>
      <c r="E11" s="17">
        <f>Assumptions!H77</f>
        <v>2.8</v>
      </c>
      <c r="F11" s="17">
        <f>Assumptions!I77</f>
        <v>2.9</v>
      </c>
    </row>
    <row r="12" spans="1:6" x14ac:dyDescent="0.3">
      <c r="A12" s="4" t="s">
        <v>133</v>
      </c>
      <c r="B12" s="17">
        <f>B10*B11</f>
        <v>700</v>
      </c>
      <c r="C12" s="17">
        <f t="shared" ref="C12:F12" si="1">C10*C11</f>
        <v>1040</v>
      </c>
      <c r="D12" s="17">
        <f t="shared" si="1"/>
        <v>1404</v>
      </c>
      <c r="E12" s="17">
        <f t="shared" si="1"/>
        <v>1736</v>
      </c>
      <c r="F12" s="17">
        <f t="shared" si="1"/>
        <v>2030</v>
      </c>
    </row>
    <row r="13" spans="1:6" x14ac:dyDescent="0.3">
      <c r="B13" s="18"/>
      <c r="C13" s="18"/>
      <c r="D13" s="18"/>
      <c r="E13" s="18"/>
      <c r="F13" s="18"/>
    </row>
    <row r="14" spans="1:6" x14ac:dyDescent="0.3">
      <c r="A14" s="7" t="s">
        <v>134</v>
      </c>
      <c r="B14" s="19"/>
      <c r="C14" s="19"/>
      <c r="D14" s="19"/>
      <c r="E14" s="19"/>
      <c r="F14" s="19"/>
    </row>
    <row r="15" spans="1:6" x14ac:dyDescent="0.3">
      <c r="A15" s="4" t="s">
        <v>135</v>
      </c>
      <c r="B15" s="17">
        <f>Assumptions!E74*Assumptions!E78</f>
        <v>405.48</v>
      </c>
      <c r="C15" s="17">
        <f>Assumptions!F74*Assumptions!F78</f>
        <v>649.14</v>
      </c>
      <c r="D15" s="17">
        <f>Assumptions!G74*Assumptions!G78</f>
        <v>973.71</v>
      </c>
      <c r="E15" s="17">
        <f>Assumptions!H74*Assumptions!H78</f>
        <v>1363.38</v>
      </c>
      <c r="F15" s="17">
        <f>Assumptions!I74*Assumptions!I78</f>
        <v>1840.47</v>
      </c>
    </row>
    <row r="16" spans="1:6" x14ac:dyDescent="0.3">
      <c r="A16" s="4" t="s">
        <v>136</v>
      </c>
      <c r="B16" s="89">
        <f>Assumptions!E79</f>
        <v>0.04</v>
      </c>
      <c r="C16" s="89">
        <f>Assumptions!F79</f>
        <v>4.1000000000000002E-2</v>
      </c>
      <c r="D16" s="89">
        <f>Assumptions!G79</f>
        <v>4.2000000000000003E-2</v>
      </c>
      <c r="E16" s="89">
        <f>Assumptions!H79</f>
        <v>4.2999999999999997E-2</v>
      </c>
      <c r="F16" s="89">
        <f>Assumptions!I79</f>
        <v>4.3999999999999997E-2</v>
      </c>
    </row>
    <row r="17" spans="1:6" x14ac:dyDescent="0.3">
      <c r="A17" s="4" t="s">
        <v>137</v>
      </c>
      <c r="B17" s="17">
        <f>B15*B16*100</f>
        <v>1621.92</v>
      </c>
      <c r="C17" s="17">
        <f t="shared" ref="C17:F17" si="2">C15*C16*100</f>
        <v>2661.4740000000002</v>
      </c>
      <c r="D17" s="17">
        <f t="shared" si="2"/>
        <v>4089.5820000000008</v>
      </c>
      <c r="E17" s="17">
        <f t="shared" si="2"/>
        <v>5862.5340000000006</v>
      </c>
      <c r="F17" s="17">
        <f t="shared" si="2"/>
        <v>8098.0679999999993</v>
      </c>
    </row>
    <row r="18" spans="1:6" x14ac:dyDescent="0.3">
      <c r="B18" s="18"/>
      <c r="C18" s="18"/>
      <c r="D18" s="18"/>
      <c r="E18" s="18"/>
      <c r="F18" s="18"/>
    </row>
    <row r="19" spans="1:6" x14ac:dyDescent="0.3">
      <c r="A19" s="7" t="s">
        <v>138</v>
      </c>
      <c r="B19" s="19"/>
      <c r="C19" s="19"/>
      <c r="D19" s="19"/>
      <c r="E19" s="19"/>
      <c r="F19" s="19"/>
    </row>
    <row r="20" spans="1:6" x14ac:dyDescent="0.3">
      <c r="A20" s="4" t="s">
        <v>73</v>
      </c>
      <c r="B20" s="17">
        <f>Assumptions!E80</f>
        <v>70</v>
      </c>
      <c r="C20" s="17">
        <f>Assumptions!F80</f>
        <v>110</v>
      </c>
      <c r="D20" s="17">
        <f>Assumptions!G80</f>
        <v>160</v>
      </c>
      <c r="E20" s="17">
        <f>Assumptions!H80</f>
        <v>220</v>
      </c>
      <c r="F20" s="17">
        <f>Assumptions!I80</f>
        <v>290</v>
      </c>
    </row>
    <row r="21" spans="1:6" x14ac:dyDescent="0.3">
      <c r="A21" s="4" t="s">
        <v>139</v>
      </c>
      <c r="B21" s="17">
        <f>Assumptions!E81</f>
        <v>17</v>
      </c>
      <c r="C21" s="17">
        <f>Assumptions!F81</f>
        <v>19</v>
      </c>
      <c r="D21" s="17">
        <f>Assumptions!G81</f>
        <v>21</v>
      </c>
      <c r="E21" s="17">
        <f>Assumptions!H81</f>
        <v>23</v>
      </c>
      <c r="F21" s="17">
        <f>Assumptions!I81</f>
        <v>25</v>
      </c>
    </row>
    <row r="22" spans="1:6" x14ac:dyDescent="0.3">
      <c r="A22" s="4" t="s">
        <v>140</v>
      </c>
      <c r="B22" s="17">
        <f>B20*B21</f>
        <v>1190</v>
      </c>
      <c r="C22" s="17">
        <f t="shared" ref="C22:F22" si="3">C20*C21</f>
        <v>2090</v>
      </c>
      <c r="D22" s="17">
        <f t="shared" si="3"/>
        <v>3360</v>
      </c>
      <c r="E22" s="17">
        <f t="shared" si="3"/>
        <v>5060</v>
      </c>
      <c r="F22" s="17">
        <f t="shared" si="3"/>
        <v>7250</v>
      </c>
    </row>
    <row r="23" spans="1:6" x14ac:dyDescent="0.3">
      <c r="B23" s="18"/>
      <c r="C23" s="18"/>
      <c r="D23" s="18"/>
      <c r="E23" s="18"/>
      <c r="F23" s="18"/>
    </row>
    <row r="24" spans="1:6" x14ac:dyDescent="0.3">
      <c r="A24" s="7" t="s">
        <v>141</v>
      </c>
      <c r="B24" s="19"/>
      <c r="C24" s="19"/>
      <c r="D24" s="19"/>
      <c r="E24" s="19"/>
      <c r="F24" s="19"/>
    </row>
    <row r="25" spans="1:6" x14ac:dyDescent="0.3">
      <c r="A25" s="4" t="s">
        <v>142</v>
      </c>
      <c r="B25" s="17">
        <f>B7</f>
        <v>2834</v>
      </c>
      <c r="C25" s="17">
        <f t="shared" ref="C25:F25" si="4">C7</f>
        <v>4676.6000000000004</v>
      </c>
      <c r="D25" s="17">
        <f t="shared" si="4"/>
        <v>7224.3000000000011</v>
      </c>
      <c r="E25" s="17">
        <f t="shared" si="4"/>
        <v>10262</v>
      </c>
      <c r="F25" s="17">
        <f t="shared" si="4"/>
        <v>14050.899999999998</v>
      </c>
    </row>
    <row r="26" spans="1:6" x14ac:dyDescent="0.3">
      <c r="A26" s="4" t="s">
        <v>143</v>
      </c>
      <c r="B26" s="17">
        <f>B12</f>
        <v>700</v>
      </c>
      <c r="C26" s="17">
        <f t="shared" ref="C26:F26" si="5">C12</f>
        <v>1040</v>
      </c>
      <c r="D26" s="17">
        <f t="shared" si="5"/>
        <v>1404</v>
      </c>
      <c r="E26" s="17">
        <f t="shared" si="5"/>
        <v>1736</v>
      </c>
      <c r="F26" s="17">
        <f t="shared" si="5"/>
        <v>2030</v>
      </c>
    </row>
    <row r="27" spans="1:6" x14ac:dyDescent="0.3">
      <c r="A27" s="4" t="s">
        <v>144</v>
      </c>
      <c r="B27" s="17">
        <f>B17</f>
        <v>1621.92</v>
      </c>
      <c r="C27" s="17">
        <f t="shared" ref="C27:F27" si="6">C17</f>
        <v>2661.4740000000002</v>
      </c>
      <c r="D27" s="17">
        <f t="shared" si="6"/>
        <v>4089.5820000000008</v>
      </c>
      <c r="E27" s="17">
        <f t="shared" si="6"/>
        <v>5862.5340000000006</v>
      </c>
      <c r="F27" s="17">
        <f t="shared" si="6"/>
        <v>8098.0679999999993</v>
      </c>
    </row>
    <row r="28" spans="1:6" x14ac:dyDescent="0.3">
      <c r="A28" s="4" t="s">
        <v>145</v>
      </c>
      <c r="B28" s="17">
        <f>B22</f>
        <v>1190</v>
      </c>
      <c r="C28" s="17">
        <f t="shared" ref="C28:F28" si="7">C22</f>
        <v>2090</v>
      </c>
      <c r="D28" s="17">
        <f t="shared" si="7"/>
        <v>3360</v>
      </c>
      <c r="E28" s="17">
        <f t="shared" si="7"/>
        <v>5060</v>
      </c>
      <c r="F28" s="17">
        <f t="shared" si="7"/>
        <v>7250</v>
      </c>
    </row>
    <row r="29" spans="1:6" x14ac:dyDescent="0.3">
      <c r="A29" s="3" t="s">
        <v>141</v>
      </c>
      <c r="B29" s="88">
        <f>SUM(B25:B28)</f>
        <v>6345.92</v>
      </c>
      <c r="C29" s="88">
        <f t="shared" ref="C29:F29" si="8">SUM(C25:C28)</f>
        <v>10468.074000000001</v>
      </c>
      <c r="D29" s="88">
        <f t="shared" si="8"/>
        <v>16077.882000000001</v>
      </c>
      <c r="E29" s="88">
        <f t="shared" si="8"/>
        <v>22920.534</v>
      </c>
      <c r="F29" s="88">
        <f t="shared" si="8"/>
        <v>31428.967999999997</v>
      </c>
    </row>
    <row r="30" spans="1:6" x14ac:dyDescent="0.3">
      <c r="B30" s="18"/>
      <c r="C30" s="18"/>
      <c r="D30" s="18"/>
      <c r="E30" s="18"/>
      <c r="F30" s="1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showGridLines="0" workbookViewId="0">
      <pane xSplit="1" ySplit="2" topLeftCell="B6" activePane="bottomRight" state="frozen"/>
      <selection pane="topRight"/>
      <selection pane="bottomLeft"/>
      <selection pane="bottomRight" activeCell="B19" sqref="B19:F19"/>
    </sheetView>
  </sheetViews>
  <sheetFormatPr defaultRowHeight="14.4" x14ac:dyDescent="0.3"/>
  <cols>
    <col min="1" max="1" width="46" customWidth="1"/>
    <col min="2" max="6" width="13" customWidth="1"/>
  </cols>
  <sheetData>
    <row r="1" spans="1:6" ht="17.399999999999999" x14ac:dyDescent="0.3">
      <c r="A1" s="1" t="s">
        <v>271</v>
      </c>
    </row>
    <row r="2" spans="1:6" x14ac:dyDescent="0.3">
      <c r="A2" s="5" t="s">
        <v>18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</row>
    <row r="4" spans="1:6" x14ac:dyDescent="0.3">
      <c r="A4" s="4" t="s">
        <v>28</v>
      </c>
      <c r="B4" s="48">
        <f>'Revenue Build'!B25</f>
        <v>2834</v>
      </c>
      <c r="C4" s="48">
        <f>'Revenue Build'!C25</f>
        <v>4676.6000000000004</v>
      </c>
      <c r="D4" s="48">
        <f>'Revenue Build'!D25</f>
        <v>7224.3000000000011</v>
      </c>
      <c r="E4" s="48">
        <f>'Revenue Build'!E25</f>
        <v>10262</v>
      </c>
      <c r="F4" s="48">
        <f>'Revenue Build'!F25</f>
        <v>14050.899999999998</v>
      </c>
    </row>
    <row r="5" spans="1:6" x14ac:dyDescent="0.3">
      <c r="A5" s="4" t="s">
        <v>29</v>
      </c>
      <c r="B5" s="48">
        <f>'Revenue Build'!B26</f>
        <v>700</v>
      </c>
      <c r="C5" s="48">
        <f>'Revenue Build'!C26</f>
        <v>1040</v>
      </c>
      <c r="D5" s="48">
        <f>'Revenue Build'!D26</f>
        <v>1404</v>
      </c>
      <c r="E5" s="48">
        <f>'Revenue Build'!E26</f>
        <v>1736</v>
      </c>
      <c r="F5" s="48">
        <f>'Revenue Build'!F26</f>
        <v>2030</v>
      </c>
    </row>
    <row r="6" spans="1:6" x14ac:dyDescent="0.3">
      <c r="A6" s="4" t="s">
        <v>30</v>
      </c>
      <c r="B6" s="48">
        <f>'Revenue Build'!B27</f>
        <v>1621.92</v>
      </c>
      <c r="C6" s="48">
        <f>'Revenue Build'!C27</f>
        <v>2661.4740000000002</v>
      </c>
      <c r="D6" s="48">
        <f>'Revenue Build'!D27</f>
        <v>4089.5820000000008</v>
      </c>
      <c r="E6" s="48">
        <f>'Revenue Build'!E27</f>
        <v>5862.5340000000006</v>
      </c>
      <c r="F6" s="48">
        <f>'Revenue Build'!F27</f>
        <v>8098.0679999999993</v>
      </c>
    </row>
    <row r="7" spans="1:6" x14ac:dyDescent="0.3">
      <c r="A7" s="4" t="s">
        <v>31</v>
      </c>
      <c r="B7" s="48">
        <f>'Revenue Build'!B28</f>
        <v>1190</v>
      </c>
      <c r="C7" s="48">
        <f>'Revenue Build'!C28</f>
        <v>2090</v>
      </c>
      <c r="D7" s="48">
        <f>'Revenue Build'!D28</f>
        <v>3360</v>
      </c>
      <c r="E7" s="48">
        <f>'Revenue Build'!E28</f>
        <v>5060</v>
      </c>
      <c r="F7" s="48">
        <f>'Revenue Build'!F28</f>
        <v>7250</v>
      </c>
    </row>
    <row r="8" spans="1:6" x14ac:dyDescent="0.3">
      <c r="A8" s="52" t="s">
        <v>141</v>
      </c>
      <c r="B8" s="54">
        <f>SUM(B4:B7)</f>
        <v>6345.92</v>
      </c>
      <c r="C8" s="54">
        <f t="shared" ref="C8:F8" si="0">SUM(C4:C7)</f>
        <v>10468.074000000001</v>
      </c>
      <c r="D8" s="54">
        <f t="shared" si="0"/>
        <v>16077.882000000001</v>
      </c>
      <c r="E8" s="54">
        <f t="shared" si="0"/>
        <v>22920.534</v>
      </c>
      <c r="F8" s="54">
        <f t="shared" si="0"/>
        <v>31428.967999999997</v>
      </c>
    </row>
    <row r="9" spans="1:6" x14ac:dyDescent="0.3">
      <c r="A9" s="4" t="s">
        <v>33</v>
      </c>
      <c r="B9" s="48">
        <f>B8-B10</f>
        <v>1903.7760000000007</v>
      </c>
      <c r="C9" s="48">
        <f t="shared" ref="C9:F9" si="1">C8-C10</f>
        <v>3035.7414600000002</v>
      </c>
      <c r="D9" s="48">
        <f t="shared" si="1"/>
        <v>4501.8069600000017</v>
      </c>
      <c r="E9" s="48">
        <f t="shared" si="1"/>
        <v>6188.5441800000008</v>
      </c>
      <c r="F9" s="48">
        <f t="shared" si="1"/>
        <v>8171.5316800000001</v>
      </c>
    </row>
    <row r="10" spans="1:6" x14ac:dyDescent="0.3">
      <c r="A10" s="52" t="s">
        <v>146</v>
      </c>
      <c r="B10" s="54">
        <f>B8*Assumptions!E82</f>
        <v>4442.1439999999993</v>
      </c>
      <c r="C10" s="54">
        <f>C8*Assumptions!F82</f>
        <v>7432.3325400000003</v>
      </c>
      <c r="D10" s="54">
        <f>D8*Assumptions!G82</f>
        <v>11576.07504</v>
      </c>
      <c r="E10" s="54">
        <f>E8*Assumptions!H82</f>
        <v>16731.989819999999</v>
      </c>
      <c r="F10" s="54">
        <f>F8*Assumptions!I82</f>
        <v>23257.436319999997</v>
      </c>
    </row>
    <row r="11" spans="1:6" x14ac:dyDescent="0.3">
      <c r="A11" s="5" t="s">
        <v>35</v>
      </c>
      <c r="B11" s="50">
        <f>B10/B8</f>
        <v>0.69999999999999984</v>
      </c>
      <c r="C11" s="50">
        <f t="shared" ref="C11:F11" si="2">C10/C8</f>
        <v>0.71</v>
      </c>
      <c r="D11" s="50">
        <f t="shared" si="2"/>
        <v>0.72</v>
      </c>
      <c r="E11" s="50">
        <f t="shared" si="2"/>
        <v>0.73</v>
      </c>
      <c r="F11" s="50">
        <f t="shared" si="2"/>
        <v>0.74</v>
      </c>
    </row>
    <row r="12" spans="1:6" x14ac:dyDescent="0.3">
      <c r="A12" s="4" t="s">
        <v>36</v>
      </c>
      <c r="B12" s="48">
        <f>B$8*Assumptions!E83</f>
        <v>1713.3984</v>
      </c>
      <c r="C12" s="48">
        <f>C$8*Assumptions!F83</f>
        <v>2407.6570200000001</v>
      </c>
      <c r="D12" s="48">
        <f>D$8*Assumptions!G83</f>
        <v>3215.5764000000004</v>
      </c>
      <c r="E12" s="48">
        <f>E$8*Assumptions!H83</f>
        <v>4125.6961199999996</v>
      </c>
      <c r="F12" s="48">
        <f>F$8*Assumptions!I83</f>
        <v>5028.6348799999996</v>
      </c>
    </row>
    <row r="13" spans="1:6" x14ac:dyDescent="0.3">
      <c r="A13" s="4" t="s">
        <v>37</v>
      </c>
      <c r="B13" s="48">
        <f>B$8*Assumptions!E84</f>
        <v>888.42880000000014</v>
      </c>
      <c r="C13" s="48">
        <f>C$8*Assumptions!F84</f>
        <v>1256.1688799999999</v>
      </c>
      <c r="D13" s="48">
        <f>D$8*Assumptions!G84</f>
        <v>1607.7882000000002</v>
      </c>
      <c r="E13" s="48">
        <f>E$8*Assumptions!H84</f>
        <v>2062.8480599999998</v>
      </c>
      <c r="F13" s="48">
        <f>F$8*Assumptions!I84</f>
        <v>2514.3174399999998</v>
      </c>
    </row>
    <row r="14" spans="1:6" x14ac:dyDescent="0.3">
      <c r="A14" s="4" t="s">
        <v>38</v>
      </c>
      <c r="B14" s="48">
        <f>B$8*Assumptions!E85</f>
        <v>1015.3472</v>
      </c>
      <c r="C14" s="48">
        <f>C$8*Assumptions!F85</f>
        <v>1465.5303600000002</v>
      </c>
      <c r="D14" s="48">
        <f>D$8*Assumptions!G85</f>
        <v>1929.3458400000002</v>
      </c>
      <c r="E14" s="48">
        <f>E$8*Assumptions!H85</f>
        <v>2521.2587399999998</v>
      </c>
      <c r="F14" s="48">
        <f>F$8*Assumptions!I85</f>
        <v>3142.8968</v>
      </c>
    </row>
    <row r="15" spans="1:6" x14ac:dyDescent="0.3">
      <c r="A15" s="4" t="s">
        <v>39</v>
      </c>
      <c r="B15" s="48">
        <f>B$8*Assumptions!E86</f>
        <v>571.13279999999997</v>
      </c>
      <c r="C15" s="48">
        <f>C$8*Assumptions!F86</f>
        <v>837.44592000000011</v>
      </c>
      <c r="D15" s="48">
        <f>D$8*Assumptions!G86</f>
        <v>1125.4517400000002</v>
      </c>
      <c r="E15" s="48">
        <f>E$8*Assumptions!H86</f>
        <v>1489.8347100000001</v>
      </c>
      <c r="F15" s="48">
        <f>F$8*Assumptions!I86</f>
        <v>1885.7380799999999</v>
      </c>
    </row>
    <row r="16" spans="1:6" x14ac:dyDescent="0.3">
      <c r="A16" s="52" t="s">
        <v>147</v>
      </c>
      <c r="B16" s="54">
        <f>SUM(B12:B15)</f>
        <v>4188.3072000000002</v>
      </c>
      <c r="C16" s="54">
        <f t="shared" ref="C16:F16" si="3">SUM(C12:C15)</f>
        <v>5966.8021800000006</v>
      </c>
      <c r="D16" s="54">
        <f t="shared" si="3"/>
        <v>7878.1621800000012</v>
      </c>
      <c r="E16" s="54">
        <f t="shared" si="3"/>
        <v>10199.637629999997</v>
      </c>
      <c r="F16" s="54">
        <f t="shared" si="3"/>
        <v>12571.587199999998</v>
      </c>
    </row>
    <row r="17" spans="1:6" x14ac:dyDescent="0.3">
      <c r="A17" s="52" t="s">
        <v>40</v>
      </c>
      <c r="B17" s="54">
        <f>B10-B16</f>
        <v>253.83679999999913</v>
      </c>
      <c r="C17" s="54">
        <f t="shared" ref="C17:F17" si="4">C10-C16</f>
        <v>1465.5303599999997</v>
      </c>
      <c r="D17" s="54">
        <f t="shared" si="4"/>
        <v>3697.9128599999985</v>
      </c>
      <c r="E17" s="54">
        <f t="shared" si="4"/>
        <v>6532.3521900000014</v>
      </c>
      <c r="F17" s="54">
        <f t="shared" si="4"/>
        <v>10685.849119999999</v>
      </c>
    </row>
    <row r="18" spans="1:6" x14ac:dyDescent="0.3">
      <c r="A18" s="5" t="s">
        <v>41</v>
      </c>
      <c r="B18" s="51">
        <f>B17/B8</f>
        <v>3.9999999999999862E-2</v>
      </c>
      <c r="C18" s="51">
        <f t="shared" ref="C18:F18" si="5">C17/C8</f>
        <v>0.13999999999999996</v>
      </c>
      <c r="D18" s="51">
        <f t="shared" si="5"/>
        <v>0.2299999999999999</v>
      </c>
      <c r="E18" s="51">
        <f t="shared" si="5"/>
        <v>0.28500000000000009</v>
      </c>
      <c r="F18" s="51">
        <f t="shared" si="5"/>
        <v>0.34</v>
      </c>
    </row>
    <row r="19" spans="1:6" x14ac:dyDescent="0.3">
      <c r="A19" s="4" t="s">
        <v>42</v>
      </c>
      <c r="B19" s="48">
        <f>'Depreciation Schedule'!B8</f>
        <v>525.5</v>
      </c>
      <c r="C19" s="48">
        <f>'Depreciation Schedule'!C8</f>
        <v>772.95</v>
      </c>
      <c r="D19" s="48">
        <f>'Depreciation Schedule'!D8</f>
        <v>1065.655</v>
      </c>
      <c r="E19" s="48">
        <f>'Depreciation Schedule'!E8</f>
        <v>1399.0895</v>
      </c>
      <c r="F19" s="48">
        <f>'Depreciation Schedule'!F8</f>
        <v>1769.18055</v>
      </c>
    </row>
    <row r="20" spans="1:6" x14ac:dyDescent="0.3">
      <c r="A20" s="52" t="s">
        <v>43</v>
      </c>
      <c r="B20" s="54">
        <f>B17-B19</f>
        <v>-271.66320000000087</v>
      </c>
      <c r="C20" s="54">
        <f t="shared" ref="C20:F20" si="6">C17-C19</f>
        <v>692.5803599999997</v>
      </c>
      <c r="D20" s="54">
        <f t="shared" si="6"/>
        <v>2632.2578599999988</v>
      </c>
      <c r="E20" s="54">
        <f t="shared" si="6"/>
        <v>5133.2626900000014</v>
      </c>
      <c r="F20" s="54">
        <f t="shared" si="6"/>
        <v>8916.668569999998</v>
      </c>
    </row>
    <row r="21" spans="1:6" x14ac:dyDescent="0.3">
      <c r="A21" s="4" t="s">
        <v>44</v>
      </c>
      <c r="B21" s="48">
        <f>'Loan Schedule'!B9</f>
        <v>180</v>
      </c>
      <c r="C21" s="48">
        <f>'Loan Schedule'!C9</f>
        <v>210</v>
      </c>
      <c r="D21" s="48">
        <f>'Loan Schedule'!D9</f>
        <v>240</v>
      </c>
      <c r="E21" s="48">
        <f>'Loan Schedule'!E9</f>
        <v>270</v>
      </c>
      <c r="F21" s="48">
        <f>'Loan Schedule'!F9</f>
        <v>300</v>
      </c>
    </row>
    <row r="22" spans="1:6" x14ac:dyDescent="0.3">
      <c r="A22" s="52" t="s">
        <v>148</v>
      </c>
      <c r="B22" s="54">
        <f>B20-B21</f>
        <v>-451.66320000000087</v>
      </c>
      <c r="C22" s="54">
        <f t="shared" ref="C22:F22" si="7">C20-C21</f>
        <v>482.5803599999997</v>
      </c>
      <c r="D22" s="54">
        <f t="shared" si="7"/>
        <v>2392.2578599999988</v>
      </c>
      <c r="E22" s="54">
        <f t="shared" si="7"/>
        <v>4863.2626900000014</v>
      </c>
      <c r="F22" s="54">
        <f t="shared" si="7"/>
        <v>8616.668569999998</v>
      </c>
    </row>
    <row r="23" spans="1:6" x14ac:dyDescent="0.3">
      <c r="A23" s="4" t="s">
        <v>149</v>
      </c>
      <c r="B23" s="48">
        <f>IF(B22&gt;0,B22*Assumptions!E91,0)</f>
        <v>0</v>
      </c>
      <c r="C23" s="48">
        <f>IF(C22&gt;0,C22*Assumptions!F91,0)</f>
        <v>120.64508999999993</v>
      </c>
      <c r="D23" s="48">
        <f>IF(D22&gt;0,D22*Assumptions!G91,0)</f>
        <v>598.0644649999997</v>
      </c>
      <c r="E23" s="48">
        <f>IF(E22&gt;0,E22*Assumptions!H91,0)</f>
        <v>1215.8156725000003</v>
      </c>
      <c r="F23" s="48">
        <f>IF(F22&gt;0,F22*Assumptions!I91,0)</f>
        <v>2154.1671424999995</v>
      </c>
    </row>
    <row r="24" spans="1:6" x14ac:dyDescent="0.3">
      <c r="A24" s="52" t="s">
        <v>150</v>
      </c>
      <c r="B24" s="54">
        <f>B22-B23</f>
        <v>-451.66320000000087</v>
      </c>
      <c r="C24" s="54">
        <f t="shared" ref="C24:F24" si="8">C22-C23</f>
        <v>361.93526999999978</v>
      </c>
      <c r="D24" s="54">
        <f t="shared" si="8"/>
        <v>1794.1933949999991</v>
      </c>
      <c r="E24" s="54">
        <f t="shared" si="8"/>
        <v>3647.447017500001</v>
      </c>
      <c r="F24" s="54">
        <f t="shared" si="8"/>
        <v>6462.5014274999985</v>
      </c>
    </row>
  </sheetData>
  <pageMargins left="0.75" right="0.75" top="1" bottom="1" header="0.5" footer="0.5"/>
  <ignoredErrors>
    <ignoredError sqref="B23:F23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AAF9-B023-46A9-B238-CF31B2403F5E}">
  <dimension ref="A1:F9"/>
  <sheetViews>
    <sheetView showGridLines="0" workbookViewId="0">
      <selection activeCell="L14" sqref="L14"/>
    </sheetView>
  </sheetViews>
  <sheetFormatPr defaultRowHeight="14.4" x14ac:dyDescent="0.3"/>
  <cols>
    <col min="1" max="1" width="11.44140625" bestFit="1" customWidth="1"/>
  </cols>
  <sheetData>
    <row r="1" spans="1:6" ht="21" x14ac:dyDescent="0.4">
      <c r="A1" s="163" t="s">
        <v>266</v>
      </c>
      <c r="B1" s="163"/>
      <c r="C1" s="163"/>
      <c r="D1" s="163"/>
      <c r="E1" s="163"/>
      <c r="F1" s="163"/>
    </row>
    <row r="3" spans="1:6" x14ac:dyDescent="0.3">
      <c r="A3" s="161" t="s">
        <v>204</v>
      </c>
      <c r="B3" s="162" t="s">
        <v>210</v>
      </c>
      <c r="C3" s="162"/>
      <c r="D3" s="162"/>
      <c r="E3" s="162"/>
      <c r="F3" s="162"/>
    </row>
    <row r="4" spans="1:6" x14ac:dyDescent="0.3">
      <c r="A4" s="161"/>
      <c r="B4" s="20" t="s">
        <v>22</v>
      </c>
      <c r="C4" s="20" t="s">
        <v>23</v>
      </c>
      <c r="D4" s="20" t="s">
        <v>24</v>
      </c>
      <c r="E4" s="20" t="s">
        <v>25</v>
      </c>
      <c r="F4" s="20" t="s">
        <v>26</v>
      </c>
    </row>
    <row r="5" spans="1:6" x14ac:dyDescent="0.3">
      <c r="A5" t="s">
        <v>217</v>
      </c>
      <c r="B5" s="16">
        <f>Assumptions!D29</f>
        <v>2955</v>
      </c>
      <c r="C5" s="16">
        <f>B9</f>
        <v>4729.5</v>
      </c>
      <c r="D5" s="16">
        <f t="shared" ref="D5:F5" si="0">C9</f>
        <v>6956.55</v>
      </c>
      <c r="E5" s="16">
        <f t="shared" si="0"/>
        <v>9590.8949999999986</v>
      </c>
      <c r="F5" s="16">
        <f t="shared" si="0"/>
        <v>12591.805499999999</v>
      </c>
    </row>
    <row r="6" spans="1:6" x14ac:dyDescent="0.3">
      <c r="A6" t="s">
        <v>218</v>
      </c>
      <c r="B6" s="16">
        <f>Assumptions!E87</f>
        <v>2300</v>
      </c>
      <c r="C6" s="16">
        <f>Assumptions!F87</f>
        <v>3000</v>
      </c>
      <c r="D6" s="16">
        <f>Assumptions!G87</f>
        <v>3700</v>
      </c>
      <c r="E6" s="16">
        <f>Assumptions!H87</f>
        <v>4400</v>
      </c>
      <c r="F6" s="16">
        <f>Assumptions!I87</f>
        <v>5100</v>
      </c>
    </row>
    <row r="7" spans="1:6" x14ac:dyDescent="0.3">
      <c r="A7" t="s">
        <v>127</v>
      </c>
      <c r="B7" s="16">
        <f>SUM(B5:B6)</f>
        <v>5255</v>
      </c>
      <c r="C7" s="16">
        <f t="shared" ref="C7:F7" si="1">SUM(C5:C6)</f>
        <v>7729.5</v>
      </c>
      <c r="D7" s="16">
        <f t="shared" si="1"/>
        <v>10656.55</v>
      </c>
      <c r="E7" s="16">
        <f t="shared" si="1"/>
        <v>13990.894999999999</v>
      </c>
      <c r="F7" s="16">
        <f t="shared" si="1"/>
        <v>17691.805499999999</v>
      </c>
    </row>
    <row r="8" spans="1:6" x14ac:dyDescent="0.3">
      <c r="A8" s="124" t="s">
        <v>219</v>
      </c>
      <c r="B8" s="125">
        <f>Assumptions!E88*B7</f>
        <v>525.5</v>
      </c>
      <c r="C8" s="125">
        <f>Assumptions!F88*C7</f>
        <v>772.95</v>
      </c>
      <c r="D8" s="125">
        <f>Assumptions!G88*D7</f>
        <v>1065.655</v>
      </c>
      <c r="E8" s="125">
        <f>Assumptions!H88*E7</f>
        <v>1399.0895</v>
      </c>
      <c r="F8" s="125">
        <f>Assumptions!I88*F7</f>
        <v>1769.18055</v>
      </c>
    </row>
    <row r="9" spans="1:6" x14ac:dyDescent="0.3">
      <c r="A9" s="126" t="s">
        <v>207</v>
      </c>
      <c r="B9" s="127">
        <f>B5+B6-B8</f>
        <v>4729.5</v>
      </c>
      <c r="C9" s="127">
        <f>C5+C6-C8</f>
        <v>6956.55</v>
      </c>
      <c r="D9" s="127">
        <f>D5+D6-D8</f>
        <v>9590.8949999999986</v>
      </c>
      <c r="E9" s="127">
        <f>E5+E6-E8</f>
        <v>12591.805499999999</v>
      </c>
      <c r="F9" s="127">
        <f>F5+F6-F8</f>
        <v>15922.624949999998</v>
      </c>
    </row>
  </sheetData>
  <mergeCells count="3">
    <mergeCell ref="A3:A4"/>
    <mergeCell ref="B3:F3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05DB4-118C-40AB-BD54-537C7182D5B8}">
  <dimension ref="A1:F9"/>
  <sheetViews>
    <sheetView showGridLines="0" workbookViewId="0">
      <selection activeCell="B5" sqref="B5:F6"/>
    </sheetView>
  </sheetViews>
  <sheetFormatPr defaultRowHeight="14.4" x14ac:dyDescent="0.3"/>
  <cols>
    <col min="1" max="1" width="9.77734375" bestFit="1" customWidth="1"/>
  </cols>
  <sheetData>
    <row r="1" spans="1:6" ht="21" x14ac:dyDescent="0.4">
      <c r="A1" s="163" t="s">
        <v>267</v>
      </c>
      <c r="B1" s="163"/>
      <c r="C1" s="163"/>
      <c r="D1" s="163"/>
      <c r="E1" s="163"/>
      <c r="F1" s="163"/>
    </row>
    <row r="3" spans="1:6" x14ac:dyDescent="0.3">
      <c r="A3" s="161" t="s">
        <v>204</v>
      </c>
      <c r="B3" s="162" t="s">
        <v>210</v>
      </c>
      <c r="C3" s="162"/>
      <c r="D3" s="162"/>
      <c r="E3" s="162"/>
      <c r="F3" s="162"/>
    </row>
    <row r="4" spans="1:6" x14ac:dyDescent="0.3">
      <c r="A4" s="161"/>
      <c r="B4" s="20" t="s">
        <v>22</v>
      </c>
      <c r="C4" s="20" t="s">
        <v>23</v>
      </c>
      <c r="D4" s="20" t="s">
        <v>24</v>
      </c>
      <c r="E4" s="20" t="s">
        <v>25</v>
      </c>
      <c r="F4" s="20" t="s">
        <v>26</v>
      </c>
    </row>
    <row r="5" spans="1:6" x14ac:dyDescent="0.3">
      <c r="A5" t="s">
        <v>205</v>
      </c>
      <c r="B5" s="16">
        <f>Assumptions!D33</f>
        <v>1100</v>
      </c>
      <c r="C5" s="16">
        <f>B7</f>
        <v>1300</v>
      </c>
      <c r="D5" s="16">
        <f t="shared" ref="D5:F5" si="0">C7</f>
        <v>1500</v>
      </c>
      <c r="E5" s="16">
        <f t="shared" si="0"/>
        <v>1700</v>
      </c>
      <c r="F5" s="16">
        <f t="shared" si="0"/>
        <v>1900</v>
      </c>
    </row>
    <row r="6" spans="1:6" x14ac:dyDescent="0.3">
      <c r="A6" t="s">
        <v>206</v>
      </c>
      <c r="B6" s="24">
        <f>B7-B5</f>
        <v>200</v>
      </c>
      <c r="C6" s="24">
        <f t="shared" ref="C6:F6" si="1">C7-C5</f>
        <v>200</v>
      </c>
      <c r="D6" s="24">
        <f t="shared" si="1"/>
        <v>200</v>
      </c>
      <c r="E6" s="24">
        <f t="shared" si="1"/>
        <v>200</v>
      </c>
      <c r="F6" s="24">
        <f t="shared" si="1"/>
        <v>200</v>
      </c>
    </row>
    <row r="7" spans="1:6" x14ac:dyDescent="0.3">
      <c r="A7" s="21" t="s">
        <v>207</v>
      </c>
      <c r="B7" s="22">
        <f>Assumptions!E89</f>
        <v>1300</v>
      </c>
      <c r="C7" s="22">
        <f>Assumptions!F89</f>
        <v>1500</v>
      </c>
      <c r="D7" s="22">
        <f>Assumptions!G89</f>
        <v>1700</v>
      </c>
      <c r="E7" s="22">
        <f>Assumptions!H89</f>
        <v>1900</v>
      </c>
      <c r="F7" s="22">
        <f>Assumptions!I89</f>
        <v>2100</v>
      </c>
    </row>
    <row r="8" spans="1:6" x14ac:dyDescent="0.3">
      <c r="A8" t="s">
        <v>208</v>
      </c>
      <c r="B8" s="16">
        <f>(B5+B7)/2</f>
        <v>1200</v>
      </c>
      <c r="C8" s="16">
        <f t="shared" ref="C8:F8" si="2">(C5+C7)/2</f>
        <v>1400</v>
      </c>
      <c r="D8" s="16">
        <f t="shared" si="2"/>
        <v>1600</v>
      </c>
      <c r="E8" s="16">
        <f t="shared" si="2"/>
        <v>1800</v>
      </c>
      <c r="F8" s="16">
        <f t="shared" si="2"/>
        <v>2000</v>
      </c>
    </row>
    <row r="9" spans="1:6" x14ac:dyDescent="0.3">
      <c r="A9" s="21" t="s">
        <v>209</v>
      </c>
      <c r="B9" s="22">
        <f>B8*Assumptions!E90</f>
        <v>180</v>
      </c>
      <c r="C9" s="22">
        <f>C8*Assumptions!F90</f>
        <v>210</v>
      </c>
      <c r="D9" s="22">
        <f>D8*Assumptions!G90</f>
        <v>240</v>
      </c>
      <c r="E9" s="22">
        <f>E8*Assumptions!H90</f>
        <v>270</v>
      </c>
      <c r="F9" s="22">
        <f>F8*Assumptions!I90</f>
        <v>300</v>
      </c>
    </row>
  </sheetData>
  <mergeCells count="3">
    <mergeCell ref="B3:F3"/>
    <mergeCell ref="A3:A4"/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9A01-12F2-47F5-B59C-89E5DF86E263}">
  <dimension ref="A1:F10"/>
  <sheetViews>
    <sheetView showGridLines="0" workbookViewId="0">
      <selection activeCell="C16" sqref="C16"/>
    </sheetView>
  </sheetViews>
  <sheetFormatPr defaultRowHeight="14.4" x14ac:dyDescent="0.3"/>
  <cols>
    <col min="1" max="1" width="18.6640625" bestFit="1" customWidth="1"/>
  </cols>
  <sheetData>
    <row r="1" spans="1:6" ht="21" x14ac:dyDescent="0.4">
      <c r="A1" s="163" t="s">
        <v>268</v>
      </c>
      <c r="B1" s="163"/>
      <c r="C1" s="163"/>
      <c r="D1" s="163"/>
      <c r="E1" s="163"/>
      <c r="F1" s="163"/>
    </row>
    <row r="3" spans="1:6" x14ac:dyDescent="0.3">
      <c r="A3" s="161" t="s">
        <v>204</v>
      </c>
      <c r="B3" s="162" t="s">
        <v>210</v>
      </c>
      <c r="C3" s="162"/>
      <c r="D3" s="162"/>
      <c r="E3" s="162"/>
      <c r="F3" s="162"/>
    </row>
    <row r="4" spans="1:6" x14ac:dyDescent="0.3">
      <c r="A4" s="161"/>
      <c r="B4" s="20" t="s">
        <v>22</v>
      </c>
      <c r="C4" s="20" t="s">
        <v>23</v>
      </c>
      <c r="D4" s="20" t="s">
        <v>24</v>
      </c>
      <c r="E4" s="20" t="s">
        <v>25</v>
      </c>
      <c r="F4" s="20" t="s">
        <v>26</v>
      </c>
    </row>
    <row r="5" spans="1:6" x14ac:dyDescent="0.3">
      <c r="A5" t="s">
        <v>211</v>
      </c>
      <c r="B5" s="16">
        <f>'Income Statement'!B8*Assumptions!E92</f>
        <v>634.5920000000001</v>
      </c>
      <c r="C5" s="16">
        <f>'Income Statement'!C8*Assumptions!F92</f>
        <v>1046.8074000000001</v>
      </c>
      <c r="D5" s="16">
        <f>'Income Statement'!D8*Assumptions!G92</f>
        <v>1607.7882000000002</v>
      </c>
      <c r="E5" s="16">
        <f>'Income Statement'!E8*Assumptions!H92</f>
        <v>2292.0534000000002</v>
      </c>
      <c r="F5" s="16">
        <f>'Income Statement'!F8*Assumptions!I92</f>
        <v>3142.8968</v>
      </c>
    </row>
    <row r="6" spans="1:6" x14ac:dyDescent="0.3">
      <c r="A6" t="s">
        <v>212</v>
      </c>
      <c r="B6" s="16">
        <f>'Income Statement'!B8*Assumptions!E94</f>
        <v>412.48480000000001</v>
      </c>
      <c r="C6" s="16">
        <f>'Income Statement'!C8*Assumptions!F94</f>
        <v>628.08443999999997</v>
      </c>
      <c r="D6" s="16">
        <f>'Income Statement'!D8*Assumptions!G94</f>
        <v>884.28351000000009</v>
      </c>
      <c r="E6" s="16">
        <f>'Income Statement'!E8*Assumptions!H94</f>
        <v>1146.0267000000001</v>
      </c>
      <c r="F6" s="16">
        <f>'Income Statement'!F8*Assumptions!I94</f>
        <v>1414.3035599999998</v>
      </c>
    </row>
    <row r="7" spans="1:6" x14ac:dyDescent="0.3">
      <c r="A7" t="s">
        <v>213</v>
      </c>
      <c r="B7" s="16">
        <f>'Income Statement'!B8*Assumptions!E93</f>
        <v>444.21440000000007</v>
      </c>
      <c r="C7" s="16">
        <f>'Income Statement'!C8*Assumptions!F93</f>
        <v>732.7651800000001</v>
      </c>
      <c r="D7" s="16">
        <f>'Income Statement'!D8*Assumptions!G93</f>
        <v>1125.4517400000002</v>
      </c>
      <c r="E7" s="16">
        <f>'Income Statement'!E8*Assumptions!H93</f>
        <v>1604.4373800000001</v>
      </c>
      <c r="F7" s="16">
        <f>'Income Statement'!F8*Assumptions!I93</f>
        <v>2200.0277599999999</v>
      </c>
    </row>
    <row r="8" spans="1:6" x14ac:dyDescent="0.3">
      <c r="A8" t="s">
        <v>54</v>
      </c>
      <c r="B8" s="16">
        <f>'Balance Sheet'!B14</f>
        <v>253.83680000000001</v>
      </c>
      <c r="C8" s="16">
        <f>'Balance Sheet'!C14</f>
        <v>418.72296000000006</v>
      </c>
      <c r="D8" s="16">
        <f>'Balance Sheet'!D14</f>
        <v>643.1152800000001</v>
      </c>
      <c r="E8" s="16">
        <f>'Balance Sheet'!E14</f>
        <v>916.82136000000003</v>
      </c>
      <c r="F8" s="16">
        <f>'Balance Sheet'!F14</f>
        <v>1257.1587199999999</v>
      </c>
    </row>
    <row r="9" spans="1:6" x14ac:dyDescent="0.3">
      <c r="A9" s="21" t="s">
        <v>215</v>
      </c>
      <c r="B9" s="63">
        <f>B5+B6-B7-B8</f>
        <v>349.02559999999994</v>
      </c>
      <c r="C9" s="63">
        <f t="shared" ref="C9:F9" si="0">C5+C6-C7-C8</f>
        <v>523.40370000000007</v>
      </c>
      <c r="D9" s="63">
        <f t="shared" si="0"/>
        <v>723.50468999999987</v>
      </c>
      <c r="E9" s="63">
        <f t="shared" si="0"/>
        <v>916.82136000000003</v>
      </c>
      <c r="F9" s="63">
        <f t="shared" si="0"/>
        <v>1100.01388</v>
      </c>
    </row>
    <row r="10" spans="1:6" x14ac:dyDescent="0.3">
      <c r="A10" s="64" t="s">
        <v>216</v>
      </c>
      <c r="B10" s="65">
        <f>Assumptions!D26+Assumptions!D27-Assumptions!D31-'Working Capital Schedule'!B9-Assumptions!D32</f>
        <v>-94.02559999999994</v>
      </c>
      <c r="C10" s="65">
        <f>B9-C9</f>
        <v>-174.37810000000013</v>
      </c>
      <c r="D10" s="65">
        <f t="shared" ref="D10:F10" si="1">C9-D9</f>
        <v>-200.1009899999998</v>
      </c>
      <c r="E10" s="65">
        <f t="shared" si="1"/>
        <v>-193.31667000000016</v>
      </c>
      <c r="F10" s="65">
        <f t="shared" si="1"/>
        <v>-183.19251999999994</v>
      </c>
    </row>
  </sheetData>
  <mergeCells count="3">
    <mergeCell ref="A3:A4"/>
    <mergeCell ref="B3:F3"/>
    <mergeCell ref="A1: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3"/>
  <sheetViews>
    <sheetView showGridLines="0" workbookViewId="0">
      <pane xSplit="1" ySplit="2" topLeftCell="B6" activePane="bottomRight" state="frozen"/>
      <selection pane="topRight"/>
      <selection pane="bottomLeft"/>
      <selection pane="bottomRight" activeCell="B14" sqref="B14:F14"/>
    </sheetView>
  </sheetViews>
  <sheetFormatPr defaultRowHeight="14.4" x14ac:dyDescent="0.3"/>
  <cols>
    <col min="1" max="1" width="46" customWidth="1"/>
    <col min="2" max="6" width="13" customWidth="1"/>
  </cols>
  <sheetData>
    <row r="1" spans="1:6" ht="17.399999999999999" x14ac:dyDescent="0.3">
      <c r="A1" s="1" t="s">
        <v>151</v>
      </c>
    </row>
    <row r="2" spans="1:6" x14ac:dyDescent="0.3">
      <c r="A2" s="5" t="s">
        <v>18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</row>
    <row r="4" spans="1:6" x14ac:dyDescent="0.3">
      <c r="A4" s="7" t="s">
        <v>152</v>
      </c>
      <c r="B4" s="8"/>
      <c r="C4" s="8"/>
      <c r="D4" s="8"/>
      <c r="E4" s="8"/>
      <c r="F4" s="8"/>
    </row>
    <row r="5" spans="1:6" x14ac:dyDescent="0.3">
      <c r="A5" s="4" t="s">
        <v>47</v>
      </c>
      <c r="B5" s="48">
        <f>'Cash Flow'!B15</f>
        <v>13246.8112</v>
      </c>
      <c r="C5" s="48">
        <f>'Cash Flow'!C15</f>
        <v>11407.318369999999</v>
      </c>
      <c r="D5" s="48">
        <f>'Cash Flow'!D15</f>
        <v>10567.065774999999</v>
      </c>
      <c r="E5" s="48">
        <f>'Cash Flow'!E15</f>
        <v>11220.2856225</v>
      </c>
      <c r="F5" s="48">
        <f>'Cash Flow'!F15</f>
        <v>14368.775079999999</v>
      </c>
    </row>
    <row r="6" spans="1:6" x14ac:dyDescent="0.3">
      <c r="A6" s="4" t="s">
        <v>48</v>
      </c>
      <c r="B6" s="48">
        <f>'Working Capital Schedule'!B5</f>
        <v>634.5920000000001</v>
      </c>
      <c r="C6" s="48">
        <f>'Working Capital Schedule'!C5</f>
        <v>1046.8074000000001</v>
      </c>
      <c r="D6" s="48">
        <f>'Working Capital Schedule'!D5</f>
        <v>1607.7882000000002</v>
      </c>
      <c r="E6" s="48">
        <f>'Working Capital Schedule'!E5</f>
        <v>2292.0534000000002</v>
      </c>
      <c r="F6" s="48">
        <f>'Working Capital Schedule'!F5</f>
        <v>3142.8968</v>
      </c>
    </row>
    <row r="7" spans="1:6" x14ac:dyDescent="0.3">
      <c r="A7" s="4" t="s">
        <v>49</v>
      </c>
      <c r="B7" s="48">
        <f>'Working Capital Schedule'!B6</f>
        <v>412.48480000000001</v>
      </c>
      <c r="C7" s="48">
        <f>'Working Capital Schedule'!C6</f>
        <v>628.08443999999997</v>
      </c>
      <c r="D7" s="48">
        <f>'Working Capital Schedule'!D6</f>
        <v>884.28351000000009</v>
      </c>
      <c r="E7" s="48">
        <f>'Working Capital Schedule'!E6</f>
        <v>1146.0267000000001</v>
      </c>
      <c r="F7" s="48">
        <f>'Working Capital Schedule'!F6</f>
        <v>1414.3035599999998</v>
      </c>
    </row>
    <row r="8" spans="1:6" x14ac:dyDescent="0.3">
      <c r="A8" s="52" t="s">
        <v>153</v>
      </c>
      <c r="B8" s="54">
        <f>SUM(B5:B7)</f>
        <v>14293.888000000001</v>
      </c>
      <c r="C8" s="54">
        <f t="shared" ref="C8:F8" si="0">SUM(C5:C7)</f>
        <v>13082.210209999999</v>
      </c>
      <c r="D8" s="54">
        <f t="shared" si="0"/>
        <v>13059.137484999999</v>
      </c>
      <c r="E8" s="54">
        <f t="shared" si="0"/>
        <v>14658.365722500001</v>
      </c>
      <c r="F8" s="54">
        <f t="shared" si="0"/>
        <v>18925.975439999998</v>
      </c>
    </row>
    <row r="9" spans="1:6" x14ac:dyDescent="0.3">
      <c r="A9" s="4" t="s">
        <v>51</v>
      </c>
      <c r="B9" s="48">
        <f>'Depreciation Schedule'!B9</f>
        <v>4729.5</v>
      </c>
      <c r="C9" s="48">
        <f>'Depreciation Schedule'!C9</f>
        <v>6956.55</v>
      </c>
      <c r="D9" s="48">
        <f>'Depreciation Schedule'!D9</f>
        <v>9590.8949999999986</v>
      </c>
      <c r="E9" s="48">
        <f>'Depreciation Schedule'!E9</f>
        <v>12591.805499999999</v>
      </c>
      <c r="F9" s="48">
        <f>'Depreciation Schedule'!F9</f>
        <v>15922.624949999998</v>
      </c>
    </row>
    <row r="10" spans="1:6" x14ac:dyDescent="0.3">
      <c r="A10" s="52" t="s">
        <v>154</v>
      </c>
      <c r="B10" s="53">
        <f>SUM(B8:B9)</f>
        <v>19023.387999999999</v>
      </c>
      <c r="C10" s="53">
        <f t="shared" ref="C10:F10" si="1">SUM(C8:C9)</f>
        <v>20038.76021</v>
      </c>
      <c r="D10" s="53">
        <f t="shared" si="1"/>
        <v>22650.032484999996</v>
      </c>
      <c r="E10" s="53">
        <f t="shared" si="1"/>
        <v>27250.171222500001</v>
      </c>
      <c r="F10" s="53">
        <f t="shared" si="1"/>
        <v>34848.600389999992</v>
      </c>
    </row>
    <row r="11" spans="1:6" x14ac:dyDescent="0.3">
      <c r="B11" s="41"/>
      <c r="C11" s="41"/>
      <c r="D11" s="41"/>
      <c r="E11" s="41"/>
      <c r="F11" s="41"/>
    </row>
    <row r="12" spans="1:6" x14ac:dyDescent="0.3">
      <c r="A12" s="55" t="s">
        <v>155</v>
      </c>
      <c r="B12" s="56"/>
      <c r="C12" s="56"/>
      <c r="D12" s="56"/>
      <c r="E12" s="56"/>
      <c r="F12" s="56"/>
    </row>
    <row r="13" spans="1:6" x14ac:dyDescent="0.3">
      <c r="A13" s="4" t="s">
        <v>53</v>
      </c>
      <c r="B13" s="48">
        <f>'Working Capital Schedule'!B7</f>
        <v>444.21440000000007</v>
      </c>
      <c r="C13" s="48">
        <f>'Working Capital Schedule'!C7</f>
        <v>732.7651800000001</v>
      </c>
      <c r="D13" s="48">
        <f>'Working Capital Schedule'!D7</f>
        <v>1125.4517400000002</v>
      </c>
      <c r="E13" s="48">
        <f>'Working Capital Schedule'!E7</f>
        <v>1604.4373800000001</v>
      </c>
      <c r="F13" s="48">
        <f>'Working Capital Schedule'!F7</f>
        <v>2200.0277599999999</v>
      </c>
    </row>
    <row r="14" spans="1:6" x14ac:dyDescent="0.3">
      <c r="A14" s="4" t="s">
        <v>220</v>
      </c>
      <c r="B14" s="48">
        <f>Assumptions!E95*'Income Statement'!B8</f>
        <v>253.83680000000001</v>
      </c>
      <c r="C14" s="48">
        <f>Assumptions!F95*'Income Statement'!C8</f>
        <v>418.72296000000006</v>
      </c>
      <c r="D14" s="48">
        <f>Assumptions!G95*'Income Statement'!D8</f>
        <v>643.1152800000001</v>
      </c>
      <c r="E14" s="48">
        <f>Assumptions!H95*'Income Statement'!E8</f>
        <v>916.82136000000003</v>
      </c>
      <c r="F14" s="48">
        <f>Assumptions!I95*'Income Statement'!F8</f>
        <v>1257.1587199999999</v>
      </c>
    </row>
    <row r="15" spans="1:6" x14ac:dyDescent="0.3">
      <c r="A15" s="4" t="s">
        <v>55</v>
      </c>
      <c r="B15" s="48">
        <f>'Loan Schedule'!B7</f>
        <v>1300</v>
      </c>
      <c r="C15" s="48">
        <f>'Loan Schedule'!C7</f>
        <v>1500</v>
      </c>
      <c r="D15" s="48">
        <f>'Loan Schedule'!D7</f>
        <v>1700</v>
      </c>
      <c r="E15" s="48">
        <f>'Loan Schedule'!E7</f>
        <v>1900</v>
      </c>
      <c r="F15" s="48">
        <f>'Loan Schedule'!F7</f>
        <v>2100</v>
      </c>
    </row>
    <row r="16" spans="1:6" x14ac:dyDescent="0.3">
      <c r="A16" s="52" t="s">
        <v>156</v>
      </c>
      <c r="B16" s="54">
        <f>SUM(B13:B15)</f>
        <v>1998.0512000000001</v>
      </c>
      <c r="C16" s="54">
        <f>SUM(C13:C15)</f>
        <v>2651.4881400000004</v>
      </c>
      <c r="D16" s="54">
        <f>SUM(D13:D15)</f>
        <v>3468.5670200000004</v>
      </c>
      <c r="E16" s="54">
        <f>SUM(E13:E15)</f>
        <v>4421.2587400000002</v>
      </c>
      <c r="F16" s="54">
        <f>SUM(F13:F15)</f>
        <v>5557.1864800000003</v>
      </c>
    </row>
    <row r="17" spans="1:6" x14ac:dyDescent="0.3">
      <c r="B17" s="41"/>
      <c r="C17" s="41"/>
      <c r="D17" s="41"/>
      <c r="E17" s="41"/>
      <c r="F17" s="41"/>
    </row>
    <row r="18" spans="1:6" x14ac:dyDescent="0.3">
      <c r="A18" s="55" t="s">
        <v>157</v>
      </c>
      <c r="B18" s="56"/>
      <c r="C18" s="56"/>
      <c r="D18" s="56"/>
      <c r="E18" s="56"/>
      <c r="F18" s="56"/>
    </row>
    <row r="19" spans="1:6" x14ac:dyDescent="0.3">
      <c r="A19" s="4" t="s">
        <v>57</v>
      </c>
      <c r="B19" s="48">
        <f>Assumptions!D35+Assumptions!E96*100</f>
        <v>19350</v>
      </c>
      <c r="C19" s="48">
        <f>B19</f>
        <v>19350</v>
      </c>
      <c r="D19" s="48">
        <f t="shared" ref="D19:F19" si="2">C19</f>
        <v>19350</v>
      </c>
      <c r="E19" s="48">
        <f t="shared" si="2"/>
        <v>19350</v>
      </c>
      <c r="F19" s="48">
        <f t="shared" si="2"/>
        <v>19350</v>
      </c>
    </row>
    <row r="20" spans="1:6" x14ac:dyDescent="0.3">
      <c r="A20" s="4" t="s">
        <v>58</v>
      </c>
      <c r="B20" s="48">
        <f>Assumptions!D36+'Income Statement'!B24</f>
        <v>-2324.6632000000009</v>
      </c>
      <c r="C20" s="48">
        <f>B20+'Income Statement'!C24</f>
        <v>-1962.7279300000012</v>
      </c>
      <c r="D20" s="48">
        <f>C20+'Income Statement'!D24</f>
        <v>-168.53453500000205</v>
      </c>
      <c r="E20" s="48">
        <f>D20+'Income Statement'!E24</f>
        <v>3478.912482499999</v>
      </c>
      <c r="F20" s="48">
        <f>E20+'Income Statement'!F24</f>
        <v>9941.4139099999975</v>
      </c>
    </row>
    <row r="21" spans="1:6" x14ac:dyDescent="0.3">
      <c r="A21" s="3" t="s">
        <v>158</v>
      </c>
      <c r="B21" s="49">
        <f>SUM(B19:B20)</f>
        <v>17025.336799999997</v>
      </c>
      <c r="C21" s="49">
        <f t="shared" ref="C21:F21" si="3">SUM(C19:C20)</f>
        <v>17387.272069999999</v>
      </c>
      <c r="D21" s="49">
        <f t="shared" si="3"/>
        <v>19181.465464999997</v>
      </c>
      <c r="E21" s="49">
        <f t="shared" si="3"/>
        <v>22828.9124825</v>
      </c>
      <c r="F21" s="49">
        <f t="shared" si="3"/>
        <v>29291.413909999996</v>
      </c>
    </row>
    <row r="22" spans="1:6" x14ac:dyDescent="0.3">
      <c r="A22" s="52" t="s">
        <v>159</v>
      </c>
      <c r="B22" s="53">
        <f>B21+B16</f>
        <v>19023.387999999999</v>
      </c>
      <c r="C22" s="53">
        <f t="shared" ref="C22:F22" si="4">C21+C16</f>
        <v>20038.76021</v>
      </c>
      <c r="D22" s="53">
        <f t="shared" si="4"/>
        <v>22650.032484999996</v>
      </c>
      <c r="E22" s="53">
        <f t="shared" si="4"/>
        <v>27250.171222500001</v>
      </c>
      <c r="F22" s="53">
        <f t="shared" si="4"/>
        <v>34848.600389999992</v>
      </c>
    </row>
    <row r="23" spans="1:6" x14ac:dyDescent="0.3">
      <c r="A23" s="5" t="s">
        <v>160</v>
      </c>
      <c r="B23" s="48">
        <f>B10-B22</f>
        <v>0</v>
      </c>
      <c r="C23" s="48">
        <f t="shared" ref="C23:F23" si="5">C10-C22</f>
        <v>0</v>
      </c>
      <c r="D23" s="48">
        <f t="shared" si="5"/>
        <v>0</v>
      </c>
      <c r="E23" s="48">
        <f t="shared" si="5"/>
        <v>0</v>
      </c>
      <c r="F23" s="48">
        <f t="shared" si="5"/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5" sqref="B5:F5"/>
    </sheetView>
  </sheetViews>
  <sheetFormatPr defaultRowHeight="14.4" x14ac:dyDescent="0.3"/>
  <cols>
    <col min="1" max="1" width="46" customWidth="1"/>
    <col min="2" max="6" width="13" customWidth="1"/>
  </cols>
  <sheetData>
    <row r="1" spans="1:6" ht="17.399999999999999" x14ac:dyDescent="0.3">
      <c r="A1" s="1" t="s">
        <v>272</v>
      </c>
    </row>
    <row r="2" spans="1:6" x14ac:dyDescent="0.3">
      <c r="A2" s="5" t="s">
        <v>18</v>
      </c>
      <c r="B2" s="6" t="s">
        <v>22</v>
      </c>
      <c r="C2" s="6" t="s">
        <v>23</v>
      </c>
      <c r="D2" s="6" t="s">
        <v>24</v>
      </c>
      <c r="E2" s="6" t="s">
        <v>25</v>
      </c>
      <c r="F2" s="6" t="s">
        <v>26</v>
      </c>
    </row>
    <row r="4" spans="1:6" x14ac:dyDescent="0.3">
      <c r="A4" s="4" t="s">
        <v>61</v>
      </c>
      <c r="B4" s="48">
        <f>'Income Statement'!B24</f>
        <v>-451.66320000000087</v>
      </c>
      <c r="C4" s="48">
        <f>'Income Statement'!C24</f>
        <v>361.93526999999978</v>
      </c>
      <c r="D4" s="48">
        <f>'Income Statement'!D24</f>
        <v>1794.1933949999991</v>
      </c>
      <c r="E4" s="48">
        <f>'Income Statement'!E24</f>
        <v>3647.447017500001</v>
      </c>
      <c r="F4" s="48">
        <f>'Income Statement'!F24</f>
        <v>6462.5014274999985</v>
      </c>
    </row>
    <row r="5" spans="1:6" x14ac:dyDescent="0.3">
      <c r="A5" s="4" t="s">
        <v>62</v>
      </c>
      <c r="B5" s="48">
        <f>'Depreciation Schedule'!B8</f>
        <v>525.5</v>
      </c>
      <c r="C5" s="48">
        <f>'Depreciation Schedule'!C8</f>
        <v>772.95</v>
      </c>
      <c r="D5" s="48">
        <f>'Depreciation Schedule'!D8</f>
        <v>1065.655</v>
      </c>
      <c r="E5" s="48">
        <f>'Depreciation Schedule'!E8</f>
        <v>1399.0895</v>
      </c>
      <c r="F5" s="48">
        <f>'Depreciation Schedule'!F8</f>
        <v>1769.18055</v>
      </c>
    </row>
    <row r="6" spans="1:6" x14ac:dyDescent="0.3">
      <c r="A6" s="4" t="s">
        <v>63</v>
      </c>
      <c r="B6" s="48">
        <f>'Working Capital Schedule'!B10</f>
        <v>-94.02559999999994</v>
      </c>
      <c r="C6" s="48">
        <f>'Working Capital Schedule'!C10</f>
        <v>-174.37810000000013</v>
      </c>
      <c r="D6" s="48">
        <f>'Working Capital Schedule'!D10</f>
        <v>-200.1009899999998</v>
      </c>
      <c r="E6" s="48">
        <f>'Working Capital Schedule'!E10</f>
        <v>-193.31667000000016</v>
      </c>
      <c r="F6" s="48">
        <f>'Working Capital Schedule'!F10</f>
        <v>-183.19251999999994</v>
      </c>
    </row>
    <row r="7" spans="1:6" x14ac:dyDescent="0.3">
      <c r="A7" s="3" t="s">
        <v>161</v>
      </c>
      <c r="B7" s="49">
        <f>SUM(B4:B6)</f>
        <v>-20.188800000000811</v>
      </c>
      <c r="C7" s="49">
        <f t="shared" ref="C7:F7" si="0">SUM(C4:C6)</f>
        <v>960.50716999999963</v>
      </c>
      <c r="D7" s="49">
        <f t="shared" si="0"/>
        <v>2659.7474049999992</v>
      </c>
      <c r="E7" s="49">
        <f t="shared" si="0"/>
        <v>4853.2198475000005</v>
      </c>
      <c r="F7" s="49">
        <f t="shared" si="0"/>
        <v>8048.4894574999989</v>
      </c>
    </row>
    <row r="8" spans="1:6" x14ac:dyDescent="0.3">
      <c r="A8" s="4" t="s">
        <v>65</v>
      </c>
      <c r="B8" s="48">
        <f>-Assumptions!E87</f>
        <v>-2300</v>
      </c>
      <c r="C8" s="48">
        <f>-Assumptions!F87</f>
        <v>-3000</v>
      </c>
      <c r="D8" s="48">
        <f>-Assumptions!G87</f>
        <v>-3700</v>
      </c>
      <c r="E8" s="48">
        <f>-Assumptions!H87</f>
        <v>-4400</v>
      </c>
      <c r="F8" s="48">
        <f>-Assumptions!I87</f>
        <v>-5100</v>
      </c>
    </row>
    <row r="9" spans="1:6" x14ac:dyDescent="0.3">
      <c r="A9" s="3" t="s">
        <v>162</v>
      </c>
      <c r="B9" s="49">
        <f>B8</f>
        <v>-2300</v>
      </c>
      <c r="C9" s="49">
        <f t="shared" ref="C9:F9" si="1">C8</f>
        <v>-3000</v>
      </c>
      <c r="D9" s="49">
        <f t="shared" si="1"/>
        <v>-3700</v>
      </c>
      <c r="E9" s="49">
        <f t="shared" si="1"/>
        <v>-4400</v>
      </c>
      <c r="F9" s="49">
        <f t="shared" si="1"/>
        <v>-5100</v>
      </c>
    </row>
    <row r="10" spans="1:6" x14ac:dyDescent="0.3">
      <c r="A10" s="4" t="s">
        <v>67</v>
      </c>
      <c r="B10" s="48">
        <f>14000</f>
        <v>14000</v>
      </c>
      <c r="C10" s="48"/>
      <c r="D10" s="48"/>
      <c r="E10" s="48"/>
      <c r="F10" s="48"/>
    </row>
    <row r="11" spans="1:6" x14ac:dyDescent="0.3">
      <c r="A11" s="4" t="s">
        <v>68</v>
      </c>
      <c r="B11" s="48">
        <f>'Loan Schedule'!B6</f>
        <v>200</v>
      </c>
      <c r="C11" s="48">
        <f>'Loan Schedule'!C6</f>
        <v>200</v>
      </c>
      <c r="D11" s="48">
        <f>'Loan Schedule'!D6</f>
        <v>200</v>
      </c>
      <c r="E11" s="48">
        <f>'Loan Schedule'!E6</f>
        <v>200</v>
      </c>
      <c r="F11" s="48">
        <f>'Loan Schedule'!F6</f>
        <v>200</v>
      </c>
    </row>
    <row r="12" spans="1:6" x14ac:dyDescent="0.3">
      <c r="A12" s="3" t="s">
        <v>163</v>
      </c>
      <c r="B12" s="49">
        <f>SUM(B10:B11)</f>
        <v>14200</v>
      </c>
      <c r="C12" s="49">
        <f t="shared" ref="C12:F12" si="2">SUM(C10:C11)</f>
        <v>200</v>
      </c>
      <c r="D12" s="49">
        <f t="shared" si="2"/>
        <v>200</v>
      </c>
      <c r="E12" s="49">
        <f t="shared" si="2"/>
        <v>200</v>
      </c>
      <c r="F12" s="49">
        <f t="shared" si="2"/>
        <v>200</v>
      </c>
    </row>
    <row r="13" spans="1:6" x14ac:dyDescent="0.3">
      <c r="A13" s="3" t="s">
        <v>164</v>
      </c>
      <c r="B13" s="49">
        <f>B7+B9+B12</f>
        <v>11879.8112</v>
      </c>
      <c r="C13" s="49">
        <f t="shared" ref="C13:F13" si="3">C7+C9+C12</f>
        <v>-1839.4928300000004</v>
      </c>
      <c r="D13" s="49">
        <f t="shared" si="3"/>
        <v>-840.25259500000084</v>
      </c>
      <c r="E13" s="49">
        <f t="shared" si="3"/>
        <v>653.21984750000047</v>
      </c>
      <c r="F13" s="49">
        <f t="shared" si="3"/>
        <v>3148.4894574999989</v>
      </c>
    </row>
    <row r="14" spans="1:6" x14ac:dyDescent="0.3">
      <c r="A14" s="4" t="s">
        <v>165</v>
      </c>
      <c r="B14" s="48">
        <f>Assumptions!D25</f>
        <v>1367</v>
      </c>
      <c r="C14" s="48">
        <f>B15</f>
        <v>13246.8112</v>
      </c>
      <c r="D14" s="48">
        <f t="shared" ref="D14:F14" si="4">C15</f>
        <v>11407.318369999999</v>
      </c>
      <c r="E14" s="48">
        <f t="shared" si="4"/>
        <v>10567.065774999999</v>
      </c>
      <c r="F14" s="48">
        <f t="shared" si="4"/>
        <v>11220.2856225</v>
      </c>
    </row>
    <row r="15" spans="1:6" x14ac:dyDescent="0.3">
      <c r="A15" s="3" t="s">
        <v>166</v>
      </c>
      <c r="B15" s="49">
        <f>B13+B14</f>
        <v>13246.8112</v>
      </c>
      <c r="C15" s="49">
        <f t="shared" ref="C15:F15" si="5">C13+C14</f>
        <v>11407.318369999999</v>
      </c>
      <c r="D15" s="49">
        <f t="shared" si="5"/>
        <v>10567.065774999999</v>
      </c>
      <c r="E15" s="49">
        <f t="shared" si="5"/>
        <v>11220.2856225</v>
      </c>
      <c r="F15" s="49">
        <f t="shared" si="5"/>
        <v>14368.775079999999</v>
      </c>
    </row>
    <row r="17" spans="1:6" s="41" customFormat="1" x14ac:dyDescent="0.3">
      <c r="A17" s="25" t="s">
        <v>226</v>
      </c>
    </row>
    <row r="18" spans="1:6" x14ac:dyDescent="0.3">
      <c r="A18" s="16" t="s">
        <v>221</v>
      </c>
      <c r="B18" s="16">
        <f>'Income Statement'!B20-MAX('Income Statement'!B20*Assumptions!E91,0)</f>
        <v>-271.66320000000087</v>
      </c>
      <c r="C18" s="16">
        <f>'Income Statement'!C20-MAX('Income Statement'!C20*Assumptions!F91,0)</f>
        <v>519.43526999999972</v>
      </c>
      <c r="D18" s="16">
        <f>'Income Statement'!D20-MAX('Income Statement'!D20*Assumptions!G91,0)</f>
        <v>1974.1933949999991</v>
      </c>
      <c r="E18" s="16">
        <f>'Income Statement'!E20-MAX('Income Statement'!E20*Assumptions!H91,0)</f>
        <v>3849.947017500001</v>
      </c>
      <c r="F18" s="16">
        <f>'Income Statement'!F20-MAX('Income Statement'!F20*Assumptions!I91,0)</f>
        <v>6687.5014274999985</v>
      </c>
    </row>
    <row r="19" spans="1:6" x14ac:dyDescent="0.3">
      <c r="A19" s="16" t="s">
        <v>222</v>
      </c>
      <c r="B19" s="16">
        <f>B5</f>
        <v>525.5</v>
      </c>
      <c r="C19" s="16">
        <f t="shared" ref="C19:F19" si="6">C5</f>
        <v>772.95</v>
      </c>
      <c r="D19" s="16">
        <f t="shared" si="6"/>
        <v>1065.655</v>
      </c>
      <c r="E19" s="16">
        <f t="shared" si="6"/>
        <v>1399.0895</v>
      </c>
      <c r="F19" s="16">
        <f t="shared" si="6"/>
        <v>1769.18055</v>
      </c>
    </row>
    <row r="20" spans="1:6" x14ac:dyDescent="0.3">
      <c r="A20" s="16" t="s">
        <v>223</v>
      </c>
      <c r="B20" s="16">
        <f>B8</f>
        <v>-2300</v>
      </c>
      <c r="C20" s="16">
        <f t="shared" ref="C20:F20" si="7">C8</f>
        <v>-3000</v>
      </c>
      <c r="D20" s="16">
        <f t="shared" si="7"/>
        <v>-3700</v>
      </c>
      <c r="E20" s="16">
        <f t="shared" si="7"/>
        <v>-4400</v>
      </c>
      <c r="F20" s="16">
        <f t="shared" si="7"/>
        <v>-5100</v>
      </c>
    </row>
    <row r="21" spans="1:6" x14ac:dyDescent="0.3">
      <c r="A21" s="16" t="s">
        <v>224</v>
      </c>
      <c r="B21" s="16">
        <f>B6</f>
        <v>-94.02559999999994</v>
      </c>
      <c r="C21" s="16">
        <f t="shared" ref="C21:F21" si="8">C6</f>
        <v>-174.37810000000013</v>
      </c>
      <c r="D21" s="16">
        <f t="shared" si="8"/>
        <v>-200.1009899999998</v>
      </c>
      <c r="E21" s="16">
        <f t="shared" si="8"/>
        <v>-193.31667000000016</v>
      </c>
      <c r="F21" s="16">
        <f t="shared" si="8"/>
        <v>-183.19251999999994</v>
      </c>
    </row>
    <row r="22" spans="1:6" x14ac:dyDescent="0.3">
      <c r="A22" s="22" t="s">
        <v>225</v>
      </c>
      <c r="B22" s="22">
        <f>SUM(B18:B21)</f>
        <v>-2140.1888000000008</v>
      </c>
      <c r="C22" s="22">
        <f t="shared" ref="C22:F22" si="9">SUM(C18:C21)</f>
        <v>-1881.9928300000004</v>
      </c>
      <c r="D22" s="22">
        <f t="shared" si="9"/>
        <v>-860.25259500000072</v>
      </c>
      <c r="E22" s="22">
        <f t="shared" si="9"/>
        <v>655.71984750000047</v>
      </c>
      <c r="F22" s="22">
        <f t="shared" si="9"/>
        <v>3173.4894574999985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5E912-535C-49EC-BFFC-CA56EF537BB6}">
  <dimension ref="A1:F17"/>
  <sheetViews>
    <sheetView showGridLines="0" workbookViewId="0">
      <selection activeCell="K12" sqref="K12"/>
    </sheetView>
  </sheetViews>
  <sheetFormatPr defaultRowHeight="14.4" x14ac:dyDescent="0.3"/>
  <cols>
    <col min="1" max="1" width="17.5546875" bestFit="1" customWidth="1"/>
    <col min="4" max="4" width="12.33203125" bestFit="1" customWidth="1"/>
    <col min="5" max="5" width="20.21875" bestFit="1" customWidth="1"/>
  </cols>
  <sheetData>
    <row r="1" spans="1:6" x14ac:dyDescent="0.3">
      <c r="A1" s="164" t="s">
        <v>269</v>
      </c>
      <c r="B1" s="164"/>
      <c r="C1" s="164"/>
      <c r="D1" s="164"/>
      <c r="E1" s="164"/>
      <c r="F1" s="164"/>
    </row>
    <row r="3" spans="1:6" x14ac:dyDescent="0.3">
      <c r="A3" s="164" t="s">
        <v>233</v>
      </c>
      <c r="B3" s="164"/>
      <c r="D3" s="164" t="s">
        <v>242</v>
      </c>
      <c r="E3" s="164"/>
      <c r="F3" s="164"/>
    </row>
    <row r="4" spans="1:6" x14ac:dyDescent="0.3">
      <c r="A4" s="25" t="s">
        <v>227</v>
      </c>
      <c r="B4" s="26" t="s">
        <v>228</v>
      </c>
      <c r="D4" s="25" t="s">
        <v>227</v>
      </c>
      <c r="E4" s="26" t="s">
        <v>238</v>
      </c>
      <c r="F4" s="26" t="s">
        <v>239</v>
      </c>
    </row>
    <row r="5" spans="1:6" x14ac:dyDescent="0.3">
      <c r="A5" t="s">
        <v>229</v>
      </c>
      <c r="B5">
        <v>15</v>
      </c>
      <c r="D5" t="s">
        <v>59</v>
      </c>
      <c r="E5" s="31">
        <f>Assumptions!D37</f>
        <v>3477</v>
      </c>
      <c r="F5" s="27">
        <f>E5/SUM(E5:E6)</f>
        <v>0.7596679047410968</v>
      </c>
    </row>
    <row r="6" spans="1:6" x14ac:dyDescent="0.3">
      <c r="A6" t="s">
        <v>230</v>
      </c>
      <c r="B6">
        <v>25</v>
      </c>
      <c r="D6" t="s">
        <v>240</v>
      </c>
      <c r="E6" s="31">
        <f>Assumptions!D33</f>
        <v>1100</v>
      </c>
      <c r="F6" s="27">
        <f>E6/SUM(E5:E6)</f>
        <v>0.2403320952589032</v>
      </c>
    </row>
    <row r="7" spans="1:6" x14ac:dyDescent="0.3">
      <c r="A7" s="21" t="s">
        <v>231</v>
      </c>
      <c r="B7" s="29">
        <f>B5%*(1-B6%)</f>
        <v>0.11249999999999999</v>
      </c>
      <c r="D7" t="str">
        <f>A7</f>
        <v>After tax COD</v>
      </c>
      <c r="E7" s="28">
        <f>B7</f>
        <v>0.11249999999999999</v>
      </c>
    </row>
    <row r="8" spans="1:6" x14ac:dyDescent="0.3">
      <c r="D8" t="str">
        <f>A15</f>
        <v>Cost of Equity</v>
      </c>
      <c r="E8" s="28">
        <f>B15</f>
        <v>0.15908639999999999</v>
      </c>
    </row>
    <row r="9" spans="1:6" x14ac:dyDescent="0.3">
      <c r="A9" s="164" t="s">
        <v>232</v>
      </c>
      <c r="B9" s="164"/>
      <c r="D9" s="165" t="s">
        <v>241</v>
      </c>
      <c r="E9" s="166">
        <f>(E7*F6)+(E8*F5)</f>
        <v>0.14789019287743063</v>
      </c>
    </row>
    <row r="10" spans="1:6" x14ac:dyDescent="0.3">
      <c r="A10" s="25" t="s">
        <v>227</v>
      </c>
      <c r="B10" s="26" t="s">
        <v>228</v>
      </c>
    </row>
    <row r="11" spans="1:6" x14ac:dyDescent="0.3">
      <c r="A11" t="s">
        <v>234</v>
      </c>
      <c r="B11">
        <v>6.85</v>
      </c>
    </row>
    <row r="12" spans="1:6" x14ac:dyDescent="0.3">
      <c r="A12" t="s">
        <v>277</v>
      </c>
      <c r="B12">
        <v>0.442</v>
      </c>
    </row>
    <row r="13" spans="1:6" x14ac:dyDescent="0.3">
      <c r="A13" t="s">
        <v>235</v>
      </c>
      <c r="B13">
        <v>6.92</v>
      </c>
    </row>
    <row r="14" spans="1:6" x14ac:dyDescent="0.3">
      <c r="A14" t="s">
        <v>236</v>
      </c>
      <c r="B14">
        <v>6</v>
      </c>
    </row>
    <row r="15" spans="1:6" x14ac:dyDescent="0.3">
      <c r="A15" s="21" t="s">
        <v>232</v>
      </c>
      <c r="B15" s="29">
        <f>B11%+(B12*B13%)+B14%</f>
        <v>0.15908639999999999</v>
      </c>
    </row>
    <row r="17" spans="1:1" x14ac:dyDescent="0.3">
      <c r="A17" s="30" t="s">
        <v>237</v>
      </c>
    </row>
  </sheetData>
  <mergeCells count="4">
    <mergeCell ref="A3:B3"/>
    <mergeCell ref="A9:B9"/>
    <mergeCell ref="D3:F3"/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94"/>
  <sheetViews>
    <sheetView showGridLines="0" tabSelected="1" topLeftCell="A31" workbookViewId="0">
      <selection activeCell="H47" sqref="H47"/>
    </sheetView>
  </sheetViews>
  <sheetFormatPr defaultRowHeight="14.4" x14ac:dyDescent="0.3"/>
  <cols>
    <col min="1" max="1" width="27.44140625" customWidth="1"/>
    <col min="2" max="2" width="11.33203125" bestFit="1" customWidth="1"/>
    <col min="3" max="3" width="10.5546875" bestFit="1" customWidth="1"/>
    <col min="4" max="4" width="10.6640625" bestFit="1" customWidth="1"/>
    <col min="5" max="5" width="10.5546875" bestFit="1" customWidth="1"/>
    <col min="6" max="6" width="9.109375" bestFit="1" customWidth="1"/>
    <col min="7" max="7" width="7.88671875" bestFit="1" customWidth="1"/>
  </cols>
  <sheetData>
    <row r="1" spans="1:6" ht="17.399999999999999" x14ac:dyDescent="0.3">
      <c r="A1" s="1" t="s">
        <v>273</v>
      </c>
    </row>
    <row r="3" spans="1:6" x14ac:dyDescent="0.3">
      <c r="A3" s="7" t="s">
        <v>167</v>
      </c>
      <c r="B3" s="8"/>
      <c r="C3" s="8"/>
      <c r="D3" s="8"/>
      <c r="E3" s="8"/>
      <c r="F3" s="8"/>
    </row>
    <row r="4" spans="1:6" x14ac:dyDescent="0.3">
      <c r="A4" s="5" t="s">
        <v>168</v>
      </c>
    </row>
    <row r="5" spans="1:6" x14ac:dyDescent="0.3">
      <c r="B5" s="32">
        <v>1</v>
      </c>
      <c r="C5" s="32">
        <v>2</v>
      </c>
      <c r="D5" s="32">
        <v>3</v>
      </c>
      <c r="E5" s="32">
        <v>4</v>
      </c>
      <c r="F5" s="32">
        <v>5</v>
      </c>
    </row>
    <row r="6" spans="1:6" x14ac:dyDescent="0.3">
      <c r="A6" s="15" t="s">
        <v>204</v>
      </c>
      <c r="B6" s="15" t="s">
        <v>22</v>
      </c>
      <c r="C6" s="15" t="s">
        <v>23</v>
      </c>
      <c r="D6" s="15" t="s">
        <v>24</v>
      </c>
      <c r="E6" s="15" t="s">
        <v>25</v>
      </c>
      <c r="F6" s="15" t="s">
        <v>26</v>
      </c>
    </row>
    <row r="7" spans="1:6" x14ac:dyDescent="0.3">
      <c r="A7" s="4" t="s">
        <v>169</v>
      </c>
      <c r="B7" s="57">
        <f>'Cash Flow'!B22</f>
        <v>-2140.1888000000008</v>
      </c>
      <c r="C7" s="57">
        <f>'Cash Flow'!C22</f>
        <v>-1881.9928300000004</v>
      </c>
      <c r="D7" s="57">
        <f>'Cash Flow'!D22</f>
        <v>-860.25259500000072</v>
      </c>
      <c r="E7" s="57">
        <f>'Cash Flow'!E22</f>
        <v>655.71984750000047</v>
      </c>
      <c r="F7" s="57">
        <f>'Cash Flow'!F22</f>
        <v>3173.4894574999985</v>
      </c>
    </row>
    <row r="8" spans="1:6" x14ac:dyDescent="0.3">
      <c r="A8" s="4" t="s">
        <v>170</v>
      </c>
      <c r="B8" s="58">
        <f>1/(1+WACC!$E$9)^B5</f>
        <v>0.87116346685852208</v>
      </c>
      <c r="C8" s="58">
        <f>1/(1+WACC!$E$9)^C5</f>
        <v>0.75892578598895932</v>
      </c>
      <c r="D8" s="58">
        <f>1/(1+WACC!$E$9)^D5</f>
        <v>0.66114841881047071</v>
      </c>
      <c r="E8" s="58">
        <f>1/(1+WACC!$E$9)^E5</f>
        <v>0.57596834863895974</v>
      </c>
      <c r="F8" s="58">
        <f>1/(1+WACC!$E$9)^F5</f>
        <v>0.50176258340109414</v>
      </c>
    </row>
    <row r="9" spans="1:6" x14ac:dyDescent="0.3">
      <c r="A9" s="4" t="s">
        <v>171</v>
      </c>
      <c r="B9" s="57">
        <f>B7*B8</f>
        <v>-1864.4542947397808</v>
      </c>
      <c r="C9" s="57">
        <f t="shared" ref="C9:F9" si="0">C7*C8</f>
        <v>-1428.2928877333361</v>
      </c>
      <c r="D9" s="57">
        <f t="shared" si="0"/>
        <v>-568.75464296185476</v>
      </c>
      <c r="E9" s="57">
        <f t="shared" si="0"/>
        <v>377.67387773436576</v>
      </c>
      <c r="F9" s="57">
        <f t="shared" si="0"/>
        <v>1592.3382685913359</v>
      </c>
    </row>
    <row r="11" spans="1:6" x14ac:dyDescent="0.3">
      <c r="A11" s="4" t="s">
        <v>172</v>
      </c>
      <c r="B11" s="59">
        <f>WACC!E9</f>
        <v>0.14789019287743063</v>
      </c>
    </row>
    <row r="12" spans="1:6" x14ac:dyDescent="0.3">
      <c r="A12" s="4" t="s">
        <v>173</v>
      </c>
      <c r="B12" s="59">
        <v>0.06</v>
      </c>
    </row>
    <row r="13" spans="1:6" x14ac:dyDescent="0.3">
      <c r="A13" s="4" t="s">
        <v>174</v>
      </c>
      <c r="B13" s="57">
        <f>F7*(1+B12)/(B11-B12)</f>
        <v>38273.881474366586</v>
      </c>
    </row>
    <row r="14" spans="1:6" x14ac:dyDescent="0.3">
      <c r="A14" s="4" t="s">
        <v>175</v>
      </c>
      <c r="B14" s="57">
        <f>B13*F8</f>
        <v>19204.401645365455</v>
      </c>
    </row>
    <row r="15" spans="1:6" x14ac:dyDescent="0.3">
      <c r="A15" s="4" t="s">
        <v>176</v>
      </c>
      <c r="B15" s="57">
        <f>SUM(B9:F9)</f>
        <v>-1891.4896791092699</v>
      </c>
    </row>
    <row r="16" spans="1:6" x14ac:dyDescent="0.3">
      <c r="A16" s="3" t="s">
        <v>177</v>
      </c>
      <c r="B16" s="57">
        <f>SUM(B14:B15)</f>
        <v>17312.911966256186</v>
      </c>
    </row>
    <row r="17" spans="1:7" x14ac:dyDescent="0.3">
      <c r="A17" s="4" t="s">
        <v>178</v>
      </c>
      <c r="B17" s="57">
        <f>B16/100</f>
        <v>173.12911966256186</v>
      </c>
    </row>
    <row r="18" spans="1:7" x14ac:dyDescent="0.3">
      <c r="A18" s="4" t="s">
        <v>249</v>
      </c>
      <c r="B18" s="57">
        <f>(B16+Assumptions!D25-Assumptions!D33)/100</f>
        <v>175.79911966256185</v>
      </c>
    </row>
    <row r="20" spans="1:7" x14ac:dyDescent="0.3">
      <c r="A20" s="7" t="s">
        <v>179</v>
      </c>
      <c r="B20" s="8"/>
      <c r="C20" s="8"/>
      <c r="D20" s="8"/>
      <c r="E20" s="8"/>
      <c r="F20" s="8"/>
      <c r="G20" s="8"/>
    </row>
    <row r="21" spans="1:7" ht="39.6" x14ac:dyDescent="0.3">
      <c r="A21" s="42" t="s">
        <v>180</v>
      </c>
      <c r="B21" s="42" t="s">
        <v>181</v>
      </c>
      <c r="C21" s="42" t="s">
        <v>182</v>
      </c>
      <c r="D21" s="42" t="s">
        <v>248</v>
      </c>
      <c r="E21" s="43" t="s">
        <v>183</v>
      </c>
      <c r="F21" s="44" t="s">
        <v>184</v>
      </c>
      <c r="G21" s="44" t="s">
        <v>262</v>
      </c>
    </row>
    <row r="22" spans="1:7" x14ac:dyDescent="0.3">
      <c r="A22" s="60" t="s">
        <v>243</v>
      </c>
      <c r="B22" s="60" t="s">
        <v>244</v>
      </c>
      <c r="C22" s="57" t="s">
        <v>246</v>
      </c>
      <c r="D22" s="57">
        <v>7.5</v>
      </c>
      <c r="E22" s="57">
        <f>'Income Statement'!F8/100</f>
        <v>314.28967999999998</v>
      </c>
      <c r="F22" s="57">
        <f>D22*E22</f>
        <v>2357.1725999999999</v>
      </c>
      <c r="G22" s="57">
        <f>F22*F8</f>
        <v>1182.7410132982739</v>
      </c>
    </row>
    <row r="23" spans="1:7" x14ac:dyDescent="0.3">
      <c r="A23" s="60" t="s">
        <v>245</v>
      </c>
      <c r="B23" s="60" t="s">
        <v>244</v>
      </c>
      <c r="C23" s="57" t="s">
        <v>247</v>
      </c>
      <c r="D23" s="57">
        <v>2</v>
      </c>
      <c r="E23" s="57">
        <f>E22</f>
        <v>314.28967999999998</v>
      </c>
      <c r="F23" s="57">
        <f>D23*E23</f>
        <v>628.57935999999995</v>
      </c>
      <c r="G23" s="57">
        <f>F23*F8</f>
        <v>315.39760354620637</v>
      </c>
    </row>
    <row r="24" spans="1:7" x14ac:dyDescent="0.3">
      <c r="A24" s="103" t="s">
        <v>292</v>
      </c>
      <c r="B24" s="60"/>
      <c r="C24" s="57"/>
      <c r="D24" s="57"/>
      <c r="E24" s="57"/>
      <c r="F24" s="57"/>
      <c r="G24" s="57"/>
    </row>
    <row r="26" spans="1:7" x14ac:dyDescent="0.3">
      <c r="A26" s="144" t="s">
        <v>299</v>
      </c>
      <c r="B26" s="141" t="str">
        <f>CONCATENATE(ROUND(MIN(B18,G22,G23),0)," - ",ROUND(MAX(B18,G22,G23),0))</f>
        <v>176 - 1183</v>
      </c>
    </row>
    <row r="27" spans="1:7" x14ac:dyDescent="0.3">
      <c r="A27" s="145" t="s">
        <v>302</v>
      </c>
      <c r="B27" s="142">
        <f>AVERAGE(B18,G22,G23)</f>
        <v>557.97924550234745</v>
      </c>
    </row>
    <row r="28" spans="1:7" x14ac:dyDescent="0.3">
      <c r="A28" s="146" t="s">
        <v>300</v>
      </c>
      <c r="B28" s="147">
        <v>560</v>
      </c>
    </row>
    <row r="29" spans="1:7" x14ac:dyDescent="0.3">
      <c r="A29" s="140" t="s">
        <v>301</v>
      </c>
      <c r="B29" s="143">
        <f>B28+('Cap Table'!B24/10000000)</f>
        <v>700</v>
      </c>
    </row>
    <row r="31" spans="1:7" x14ac:dyDescent="0.3">
      <c r="A31" s="7" t="s">
        <v>261</v>
      </c>
      <c r="B31" s="8"/>
      <c r="C31" s="8"/>
      <c r="D31" s="8"/>
      <c r="E31" s="8"/>
      <c r="F31" s="8"/>
      <c r="G31" s="8"/>
    </row>
    <row r="33" spans="1:9" x14ac:dyDescent="0.3">
      <c r="A33" s="150" t="s">
        <v>265</v>
      </c>
      <c r="B33" s="111"/>
      <c r="C33" s="153" t="s">
        <v>263</v>
      </c>
      <c r="D33" s="154"/>
      <c r="E33" s="154"/>
      <c r="F33" s="154"/>
      <c r="G33" s="155"/>
    </row>
    <row r="34" spans="1:9" x14ac:dyDescent="0.3">
      <c r="A34" s="152"/>
      <c r="B34" s="119">
        <f>B18</f>
        <v>175.79911966256185</v>
      </c>
      <c r="C34" s="115">
        <f>D34-1%</f>
        <v>0.12799999999999997</v>
      </c>
      <c r="D34" s="116">
        <f>E34-1%</f>
        <v>0.13799999999999998</v>
      </c>
      <c r="E34" s="116">
        <v>0.14799999999999999</v>
      </c>
      <c r="F34" s="117">
        <f>E34+1%</f>
        <v>0.158</v>
      </c>
      <c r="G34" s="118">
        <f>F34+1%</f>
        <v>0.16800000000000001</v>
      </c>
    </row>
    <row r="35" spans="1:9" x14ac:dyDescent="0.3">
      <c r="A35" s="150" t="s">
        <v>264</v>
      </c>
      <c r="B35" s="112">
        <v>0.04</v>
      </c>
      <c r="C35" s="66">
        <f t="dataTable" ref="C35:G39" dt2D="1" dtr="1" r1="B11" r2="B12"/>
        <v>171.94053495151985</v>
      </c>
      <c r="D35" s="66">
        <v>152.73793987574297</v>
      </c>
      <c r="E35" s="66">
        <v>137.09138092511003</v>
      </c>
      <c r="F35" s="66">
        <v>124.09678111865217</v>
      </c>
      <c r="G35" s="67">
        <v>113.13258753195333</v>
      </c>
    </row>
    <row r="36" spans="1:9" x14ac:dyDescent="0.3">
      <c r="A36" s="151"/>
      <c r="B36" s="113">
        <v>0.05</v>
      </c>
      <c r="C36" s="66">
        <v>198.10833167312569</v>
      </c>
      <c r="D36" s="66">
        <v>173.75001025673723</v>
      </c>
      <c r="E36" s="66">
        <v>154.36277484369333</v>
      </c>
      <c r="F36" s="66">
        <v>138.56576821084275</v>
      </c>
      <c r="G36" s="67">
        <v>125.44622032932277</v>
      </c>
    </row>
    <row r="37" spans="1:9" x14ac:dyDescent="0.3">
      <c r="A37" s="151"/>
      <c r="B37" s="113">
        <v>0.06</v>
      </c>
      <c r="C37" s="66">
        <v>231.97253919520389</v>
      </c>
      <c r="D37" s="66">
        <v>200.14979099183253</v>
      </c>
      <c r="E37" s="66">
        <v>175.5594855619546</v>
      </c>
      <c r="F37" s="66">
        <v>155.98760981164364</v>
      </c>
      <c r="G37" s="67">
        <v>140.04015549657544</v>
      </c>
    </row>
    <row r="38" spans="1:9" x14ac:dyDescent="0.3">
      <c r="A38" s="151"/>
      <c r="B38" s="113">
        <v>7.0000000000000007E-2</v>
      </c>
      <c r="C38" s="66">
        <v>277.51405965592983</v>
      </c>
      <c r="D38" s="66">
        <v>234.31421311960293</v>
      </c>
      <c r="E38" s="66">
        <v>202.19125031053937</v>
      </c>
      <c r="F38" s="66">
        <v>177.36896086717206</v>
      </c>
      <c r="G38" s="67">
        <v>157.612444779594</v>
      </c>
    </row>
    <row r="39" spans="1:9" x14ac:dyDescent="0.3">
      <c r="A39" s="152"/>
      <c r="B39" s="114">
        <v>0.08</v>
      </c>
      <c r="C39" s="68">
        <v>342.03121364195812</v>
      </c>
      <c r="D39" s="68">
        <v>280.25947046384584</v>
      </c>
      <c r="E39" s="68">
        <v>236.65588704400187</v>
      </c>
      <c r="F39" s="68">
        <v>204.23270962924613</v>
      </c>
      <c r="G39" s="69">
        <v>179.17843617238944</v>
      </c>
    </row>
    <row r="41" spans="1:9" x14ac:dyDescent="0.3">
      <c r="A41" s="7" t="s">
        <v>279</v>
      </c>
      <c r="B41" s="8"/>
      <c r="C41" s="8"/>
      <c r="D41" s="8"/>
      <c r="E41" s="8"/>
      <c r="F41" s="8"/>
      <c r="G41" s="8"/>
    </row>
    <row r="42" spans="1:9" x14ac:dyDescent="0.3">
      <c r="B42" s="122"/>
    </row>
    <row r="43" spans="1:9" x14ac:dyDescent="0.3">
      <c r="A43" s="106" t="s">
        <v>287</v>
      </c>
      <c r="B43" s="134" t="s">
        <v>280</v>
      </c>
      <c r="C43" s="102">
        <f>IF(B43="Base",1,IF(B43="Bull",2,IF(B43="Bear",3,IF(B43="(select)",1))))</f>
        <v>1</v>
      </c>
      <c r="I43" s="32">
        <v>1</v>
      </c>
    </row>
    <row r="44" spans="1:9" x14ac:dyDescent="0.3">
      <c r="A44" s="107" t="s">
        <v>298</v>
      </c>
      <c r="B44" s="139">
        <f>B14</f>
        <v>19204.401645365455</v>
      </c>
      <c r="C44" s="102"/>
      <c r="I44" s="32"/>
    </row>
    <row r="45" spans="1:9" x14ac:dyDescent="0.3">
      <c r="A45" s="107" t="s">
        <v>296</v>
      </c>
      <c r="B45" s="139">
        <f>B15</f>
        <v>-1891.4896791092699</v>
      </c>
      <c r="C45" s="102"/>
      <c r="I45" s="32"/>
    </row>
    <row r="46" spans="1:9" x14ac:dyDescent="0.3">
      <c r="A46" s="107" t="s">
        <v>297</v>
      </c>
      <c r="B46" s="139">
        <f>B16</f>
        <v>17312.911966256186</v>
      </c>
      <c r="C46" s="102"/>
      <c r="I46" s="32"/>
    </row>
    <row r="47" spans="1:9" x14ac:dyDescent="0.3">
      <c r="A47" s="107" t="s">
        <v>295</v>
      </c>
      <c r="B47" s="139">
        <f>Assumptions!D33</f>
        <v>1100</v>
      </c>
      <c r="C47" s="102"/>
      <c r="I47" s="32"/>
    </row>
    <row r="48" spans="1:9" x14ac:dyDescent="0.3">
      <c r="A48" s="107" t="s">
        <v>294</v>
      </c>
      <c r="B48" s="139">
        <f>Assumptions!D25</f>
        <v>1367</v>
      </c>
      <c r="C48" s="167"/>
      <c r="I48" s="32"/>
    </row>
    <row r="49" spans="1:9" x14ac:dyDescent="0.3">
      <c r="A49" s="148" t="s">
        <v>303</v>
      </c>
      <c r="B49" s="149">
        <f>B18</f>
        <v>175.79911966256185</v>
      </c>
      <c r="I49" s="32">
        <v>2</v>
      </c>
    </row>
    <row r="50" spans="1:9" x14ac:dyDescent="0.3">
      <c r="A50" s="137" t="s">
        <v>290</v>
      </c>
      <c r="B50" s="135">
        <f>G22</f>
        <v>1182.7410132982739</v>
      </c>
      <c r="I50" s="32">
        <v>3</v>
      </c>
    </row>
    <row r="51" spans="1:9" x14ac:dyDescent="0.3">
      <c r="A51" s="137" t="s">
        <v>289</v>
      </c>
      <c r="B51" s="135">
        <f>G23</f>
        <v>315.39760354620637</v>
      </c>
    </row>
    <row r="52" spans="1:9" x14ac:dyDescent="0.3">
      <c r="A52" s="138" t="s">
        <v>288</v>
      </c>
      <c r="B52" s="136">
        <f>AVERAGE(B49:B51)</f>
        <v>557.97924550234745</v>
      </c>
    </row>
    <row r="55" spans="1:9" x14ac:dyDescent="0.3">
      <c r="A55" s="159" t="s">
        <v>204</v>
      </c>
      <c r="B55" s="156" t="s">
        <v>210</v>
      </c>
      <c r="C55" s="157"/>
      <c r="D55" s="157"/>
      <c r="E55" s="157"/>
      <c r="F55" s="158"/>
    </row>
    <row r="56" spans="1:9" x14ac:dyDescent="0.3">
      <c r="A56" s="160"/>
      <c r="B56" s="108" t="s">
        <v>22</v>
      </c>
      <c r="C56" s="109" t="s">
        <v>23</v>
      </c>
      <c r="D56" s="109" t="s">
        <v>24</v>
      </c>
      <c r="E56" s="109" t="s">
        <v>25</v>
      </c>
      <c r="F56" s="110" t="s">
        <v>26</v>
      </c>
    </row>
    <row r="57" spans="1:9" x14ac:dyDescent="0.3">
      <c r="A57" s="120" t="str">
        <f>'Income Statement'!A8</f>
        <v>TOTAL REVENUE</v>
      </c>
      <c r="B57" s="132">
        <f>'Income Statement'!B8</f>
        <v>6345.92</v>
      </c>
      <c r="C57" s="128">
        <f>'Income Statement'!C8</f>
        <v>10468.074000000001</v>
      </c>
      <c r="D57" s="128">
        <f>'Income Statement'!D8</f>
        <v>16077.882000000001</v>
      </c>
      <c r="E57" s="128">
        <f>'Income Statement'!E8</f>
        <v>22920.534</v>
      </c>
      <c r="F57" s="129">
        <f>'Income Statement'!F8</f>
        <v>31428.967999999997</v>
      </c>
    </row>
    <row r="58" spans="1:9" x14ac:dyDescent="0.3">
      <c r="A58" s="120" t="str">
        <f>'Income Statement'!A10</f>
        <v>GROSS PROFIT</v>
      </c>
      <c r="B58" s="132">
        <f>'Income Statement'!B10</f>
        <v>4442.1439999999993</v>
      </c>
      <c r="C58" s="128">
        <f>'Income Statement'!C10</f>
        <v>7432.3325400000003</v>
      </c>
      <c r="D58" s="128">
        <f>'Income Statement'!D10</f>
        <v>11576.07504</v>
      </c>
      <c r="E58" s="128">
        <f>'Income Statement'!E10</f>
        <v>16731.989819999999</v>
      </c>
      <c r="F58" s="129">
        <f>'Income Statement'!F10</f>
        <v>23257.436319999997</v>
      </c>
    </row>
    <row r="59" spans="1:9" x14ac:dyDescent="0.3">
      <c r="A59" s="120" t="str">
        <f>'Income Statement'!A17</f>
        <v>EBITDA</v>
      </c>
      <c r="B59" s="132">
        <f>'Income Statement'!B17</f>
        <v>253.83679999999913</v>
      </c>
      <c r="C59" s="128">
        <f>'Income Statement'!C17</f>
        <v>1465.5303599999997</v>
      </c>
      <c r="D59" s="128">
        <f>'Income Statement'!D17</f>
        <v>3697.9128599999985</v>
      </c>
      <c r="E59" s="128">
        <f>'Income Statement'!E17</f>
        <v>6532.3521900000014</v>
      </c>
      <c r="F59" s="129">
        <f>'Income Statement'!F17</f>
        <v>10685.849119999999</v>
      </c>
    </row>
    <row r="60" spans="1:9" x14ac:dyDescent="0.3">
      <c r="A60" s="120" t="str">
        <f>'Income Statement'!A24</f>
        <v>NET INCOME (LOSS)</v>
      </c>
      <c r="B60" s="132">
        <f>'Income Statement'!B24</f>
        <v>-451.66320000000087</v>
      </c>
      <c r="C60" s="128">
        <f>'Income Statement'!C24</f>
        <v>361.93526999999978</v>
      </c>
      <c r="D60" s="128">
        <f>'Income Statement'!D24</f>
        <v>1794.1933949999991</v>
      </c>
      <c r="E60" s="128">
        <f>'Income Statement'!E24</f>
        <v>3647.447017500001</v>
      </c>
      <c r="F60" s="129">
        <f>'Income Statement'!F24</f>
        <v>6462.5014274999985</v>
      </c>
    </row>
    <row r="61" spans="1:9" x14ac:dyDescent="0.3">
      <c r="A61" s="120" t="str">
        <f>'Balance Sheet'!A21</f>
        <v>TOTAL EQUITY</v>
      </c>
      <c r="B61" s="132">
        <f>'Balance Sheet'!B21</f>
        <v>17025.336799999997</v>
      </c>
      <c r="C61" s="128">
        <f>'Balance Sheet'!C21</f>
        <v>17387.272069999999</v>
      </c>
      <c r="D61" s="128">
        <f>'Balance Sheet'!D21</f>
        <v>19181.465464999997</v>
      </c>
      <c r="E61" s="128">
        <f>'Balance Sheet'!E21</f>
        <v>22828.9124825</v>
      </c>
      <c r="F61" s="129">
        <f>'Balance Sheet'!F21</f>
        <v>29291.413909999996</v>
      </c>
    </row>
    <row r="62" spans="1:9" x14ac:dyDescent="0.3">
      <c r="A62" s="120" t="str">
        <f>UPPER('Working Capital Schedule'!A9)</f>
        <v>WORKING CAPITAL</v>
      </c>
      <c r="B62" s="132">
        <f>'Working Capital Schedule'!B9</f>
        <v>349.02559999999994</v>
      </c>
      <c r="C62" s="128">
        <f>'Working Capital Schedule'!C9</f>
        <v>523.40370000000007</v>
      </c>
      <c r="D62" s="128">
        <f>'Working Capital Schedule'!D9</f>
        <v>723.50468999999987</v>
      </c>
      <c r="E62" s="128">
        <f>'Working Capital Schedule'!E9</f>
        <v>916.82136000000003</v>
      </c>
      <c r="F62" s="129">
        <f>'Working Capital Schedule'!F9</f>
        <v>1100.01388</v>
      </c>
    </row>
    <row r="63" spans="1:9" x14ac:dyDescent="0.3">
      <c r="A63" s="120" t="str">
        <f>UPPER('Balance Sheet'!A5)</f>
        <v>CASH &amp; EQUIVALENTS</v>
      </c>
      <c r="B63" s="132">
        <f>'Balance Sheet'!B5</f>
        <v>13246.8112</v>
      </c>
      <c r="C63" s="128">
        <f>'Balance Sheet'!C5</f>
        <v>11407.318369999999</v>
      </c>
      <c r="D63" s="128">
        <f>'Balance Sheet'!D5</f>
        <v>10567.065774999999</v>
      </c>
      <c r="E63" s="128">
        <f>'Balance Sheet'!E5</f>
        <v>11220.2856225</v>
      </c>
      <c r="F63" s="129">
        <f>'Balance Sheet'!F5</f>
        <v>14368.775079999999</v>
      </c>
    </row>
    <row r="64" spans="1:9" x14ac:dyDescent="0.3">
      <c r="A64" s="120" t="str">
        <f>'Cash Flow'!A7</f>
        <v>CASH FLOW FROM OPERATIONS</v>
      </c>
      <c r="B64" s="132">
        <f>'Cash Flow'!B7</f>
        <v>-20.188800000000811</v>
      </c>
      <c r="C64" s="128">
        <f>'Cash Flow'!C7</f>
        <v>960.50716999999963</v>
      </c>
      <c r="D64" s="128">
        <f>'Cash Flow'!D7</f>
        <v>2659.7474049999992</v>
      </c>
      <c r="E64" s="128">
        <f>'Cash Flow'!E7</f>
        <v>4853.2198475000005</v>
      </c>
      <c r="F64" s="129">
        <f>'Cash Flow'!F7</f>
        <v>8048.4894574999989</v>
      </c>
    </row>
    <row r="65" spans="1:6" x14ac:dyDescent="0.3">
      <c r="A65" s="121" t="str">
        <f>UPPER('Cash Flow'!A22)</f>
        <v>FREE CASH FLOW TO FIRM</v>
      </c>
      <c r="B65" s="133">
        <f>'Cash Flow'!B22</f>
        <v>-2140.1888000000008</v>
      </c>
      <c r="C65" s="130">
        <f>'Cash Flow'!C22</f>
        <v>-1881.9928300000004</v>
      </c>
      <c r="D65" s="130">
        <f>'Cash Flow'!D22</f>
        <v>-860.25259500000072</v>
      </c>
      <c r="E65" s="130">
        <f>'Cash Flow'!E22</f>
        <v>655.71984750000047</v>
      </c>
      <c r="F65" s="131">
        <f>'Cash Flow'!F22</f>
        <v>3173.4894574999985</v>
      </c>
    </row>
    <row r="68" spans="1:6" x14ac:dyDescent="0.3">
      <c r="A68" s="91" t="s">
        <v>293</v>
      </c>
    </row>
    <row r="69" spans="1:6" x14ac:dyDescent="0.3">
      <c r="A69" s="105" t="s">
        <v>204</v>
      </c>
      <c r="B69" s="105" t="s">
        <v>22</v>
      </c>
      <c r="C69" s="105" t="s">
        <v>23</v>
      </c>
      <c r="D69" s="105" t="s">
        <v>24</v>
      </c>
      <c r="E69" s="105" t="s">
        <v>25</v>
      </c>
      <c r="F69" s="105" t="s">
        <v>26</v>
      </c>
    </row>
    <row r="71" spans="1:6" x14ac:dyDescent="0.3">
      <c r="A71" s="104" t="s">
        <v>284</v>
      </c>
    </row>
    <row r="72" spans="1:6" x14ac:dyDescent="0.3">
      <c r="A72" t="s">
        <v>280</v>
      </c>
      <c r="B72" s="92">
        <v>436</v>
      </c>
      <c r="C72" s="92">
        <v>698</v>
      </c>
      <c r="D72" s="92">
        <v>1047</v>
      </c>
      <c r="E72" s="92">
        <v>1466</v>
      </c>
      <c r="F72" s="92">
        <v>1979</v>
      </c>
    </row>
    <row r="73" spans="1:6" x14ac:dyDescent="0.3">
      <c r="A73" t="s">
        <v>281</v>
      </c>
      <c r="B73" s="92">
        <f>B72*1.1</f>
        <v>479.6</v>
      </c>
      <c r="C73" s="92">
        <f t="shared" ref="C73:F73" si="1">C72*1.1</f>
        <v>767.80000000000007</v>
      </c>
      <c r="D73" s="92">
        <f t="shared" si="1"/>
        <v>1151.7</v>
      </c>
      <c r="E73" s="92">
        <f t="shared" si="1"/>
        <v>1612.6000000000001</v>
      </c>
      <c r="F73" s="92">
        <f t="shared" si="1"/>
        <v>2176.9</v>
      </c>
    </row>
    <row r="74" spans="1:6" x14ac:dyDescent="0.3">
      <c r="A74" t="s">
        <v>282</v>
      </c>
      <c r="B74" s="92">
        <f>B72*0.9</f>
        <v>392.40000000000003</v>
      </c>
      <c r="C74" s="92">
        <f t="shared" ref="C74:F74" si="2">C72*0.9</f>
        <v>628.20000000000005</v>
      </c>
      <c r="D74" s="92">
        <f t="shared" si="2"/>
        <v>942.30000000000007</v>
      </c>
      <c r="E74" s="92">
        <f t="shared" si="2"/>
        <v>1319.4</v>
      </c>
      <c r="F74" s="92">
        <f t="shared" si="2"/>
        <v>1781.1000000000001</v>
      </c>
    </row>
    <row r="75" spans="1:6" x14ac:dyDescent="0.3">
      <c r="B75" s="93"/>
      <c r="C75" s="93"/>
      <c r="D75" s="93"/>
      <c r="E75" s="93"/>
      <c r="F75" s="93"/>
    </row>
    <row r="76" spans="1:6" x14ac:dyDescent="0.3">
      <c r="A76" s="104" t="s">
        <v>93</v>
      </c>
      <c r="B76" s="93"/>
      <c r="C76" s="93"/>
      <c r="D76" s="93"/>
      <c r="E76" s="93"/>
      <c r="F76" s="93"/>
    </row>
    <row r="77" spans="1:6" x14ac:dyDescent="0.3">
      <c r="A77" t="s">
        <v>280</v>
      </c>
      <c r="B77" s="94">
        <v>6.5000000000000002E-2</v>
      </c>
      <c r="C77" s="94">
        <v>6.7000000000000004E-2</v>
      </c>
      <c r="D77" s="94">
        <v>6.9000000000000006E-2</v>
      </c>
      <c r="E77" s="94">
        <v>7.0000000000000007E-2</v>
      </c>
      <c r="F77" s="94">
        <v>7.0999999999999994E-2</v>
      </c>
    </row>
    <row r="78" spans="1:6" x14ac:dyDescent="0.3">
      <c r="A78" t="s">
        <v>281</v>
      </c>
      <c r="B78" s="95">
        <f>B77+0.5%</f>
        <v>7.0000000000000007E-2</v>
      </c>
      <c r="C78" s="95">
        <f t="shared" ref="C78:F78" si="3">C77+0.5%</f>
        <v>7.2000000000000008E-2</v>
      </c>
      <c r="D78" s="95">
        <f t="shared" si="3"/>
        <v>7.400000000000001E-2</v>
      </c>
      <c r="E78" s="95">
        <f t="shared" si="3"/>
        <v>7.5000000000000011E-2</v>
      </c>
      <c r="F78" s="95">
        <f t="shared" si="3"/>
        <v>7.5999999999999998E-2</v>
      </c>
    </row>
    <row r="79" spans="1:6" x14ac:dyDescent="0.3">
      <c r="A79" t="s">
        <v>282</v>
      </c>
      <c r="B79" s="95">
        <f>B77-0.5%</f>
        <v>6.0000000000000005E-2</v>
      </c>
      <c r="C79" s="95">
        <f t="shared" ref="C79:F79" si="4">C77-0.5%</f>
        <v>6.2000000000000006E-2</v>
      </c>
      <c r="D79" s="95">
        <f t="shared" si="4"/>
        <v>6.4000000000000001E-2</v>
      </c>
      <c r="E79" s="95">
        <f t="shared" si="4"/>
        <v>6.5000000000000002E-2</v>
      </c>
      <c r="F79" s="95">
        <f t="shared" si="4"/>
        <v>6.5999999999999989E-2</v>
      </c>
    </row>
    <row r="80" spans="1:6" x14ac:dyDescent="0.3">
      <c r="B80" s="93"/>
      <c r="C80" s="93"/>
      <c r="D80" s="93"/>
      <c r="E80" s="93"/>
      <c r="F80" s="93"/>
    </row>
    <row r="81" spans="1:6" x14ac:dyDescent="0.3">
      <c r="A81" s="104" t="s">
        <v>283</v>
      </c>
      <c r="B81" s="93"/>
      <c r="C81" s="93"/>
      <c r="D81" s="93"/>
      <c r="E81" s="93"/>
      <c r="F81" s="93"/>
    </row>
    <row r="82" spans="1:6" x14ac:dyDescent="0.3">
      <c r="A82" t="s">
        <v>280</v>
      </c>
      <c r="B82" s="96">
        <v>17</v>
      </c>
      <c r="C82" s="96">
        <v>19</v>
      </c>
      <c r="D82" s="96">
        <v>21</v>
      </c>
      <c r="E82" s="96">
        <v>23</v>
      </c>
      <c r="F82" s="96">
        <v>25</v>
      </c>
    </row>
    <row r="83" spans="1:6" x14ac:dyDescent="0.3">
      <c r="A83" t="s">
        <v>281</v>
      </c>
      <c r="B83" s="96">
        <f>B82*1.1</f>
        <v>18.700000000000003</v>
      </c>
      <c r="C83" s="96">
        <f t="shared" ref="C83:F83" si="5">C82*1.1</f>
        <v>20.900000000000002</v>
      </c>
      <c r="D83" s="96">
        <f t="shared" si="5"/>
        <v>23.1</v>
      </c>
      <c r="E83" s="96">
        <f t="shared" si="5"/>
        <v>25.3</v>
      </c>
      <c r="F83" s="96">
        <f t="shared" si="5"/>
        <v>27.500000000000004</v>
      </c>
    </row>
    <row r="84" spans="1:6" x14ac:dyDescent="0.3">
      <c r="A84" t="s">
        <v>282</v>
      </c>
      <c r="B84" s="96">
        <f>B82*0.9</f>
        <v>15.3</v>
      </c>
      <c r="C84" s="96">
        <f t="shared" ref="C84:F84" si="6">C82*0.9</f>
        <v>17.100000000000001</v>
      </c>
      <c r="D84" s="96">
        <f t="shared" si="6"/>
        <v>18.900000000000002</v>
      </c>
      <c r="E84" s="96">
        <f t="shared" si="6"/>
        <v>20.7</v>
      </c>
      <c r="F84" s="96">
        <f t="shared" si="6"/>
        <v>22.5</v>
      </c>
    </row>
    <row r="85" spans="1:6" x14ac:dyDescent="0.3">
      <c r="B85" s="93"/>
      <c r="C85" s="93"/>
      <c r="D85" s="93"/>
      <c r="E85" s="93"/>
      <c r="F85" s="93"/>
    </row>
    <row r="86" spans="1:6" x14ac:dyDescent="0.3">
      <c r="A86" s="104" t="s">
        <v>285</v>
      </c>
      <c r="B86" s="93"/>
      <c r="C86" s="93"/>
      <c r="D86" s="93"/>
      <c r="E86" s="93"/>
      <c r="F86" s="93"/>
    </row>
    <row r="87" spans="1:6" x14ac:dyDescent="0.3">
      <c r="A87" t="s">
        <v>280</v>
      </c>
      <c r="B87" s="97">
        <v>2300</v>
      </c>
      <c r="C87" s="97">
        <v>3000</v>
      </c>
      <c r="D87" s="97">
        <v>3700</v>
      </c>
      <c r="E87" s="97">
        <v>4400</v>
      </c>
      <c r="F87" s="97">
        <v>5100</v>
      </c>
    </row>
    <row r="88" spans="1:6" x14ac:dyDescent="0.3">
      <c r="A88" t="s">
        <v>281</v>
      </c>
      <c r="B88" s="98">
        <f>B87*0.9</f>
        <v>2070</v>
      </c>
      <c r="C88" s="98">
        <f t="shared" ref="C88:F88" si="7">C87*0.9</f>
        <v>2700</v>
      </c>
      <c r="D88" s="98">
        <f t="shared" si="7"/>
        <v>3330</v>
      </c>
      <c r="E88" s="98">
        <f t="shared" si="7"/>
        <v>3960</v>
      </c>
      <c r="F88" s="98">
        <f t="shared" si="7"/>
        <v>4590</v>
      </c>
    </row>
    <row r="89" spans="1:6" x14ac:dyDescent="0.3">
      <c r="A89" t="s">
        <v>282</v>
      </c>
      <c r="B89" s="99">
        <f>B87*1.1</f>
        <v>2530</v>
      </c>
      <c r="C89" s="99">
        <f t="shared" ref="C89:F89" si="8">C87*1.1</f>
        <v>3300.0000000000005</v>
      </c>
      <c r="D89" s="99">
        <f t="shared" si="8"/>
        <v>4070.0000000000005</v>
      </c>
      <c r="E89" s="99">
        <f t="shared" si="8"/>
        <v>4840</v>
      </c>
      <c r="F89" s="99">
        <f t="shared" si="8"/>
        <v>5610</v>
      </c>
    </row>
    <row r="90" spans="1:6" x14ac:dyDescent="0.3">
      <c r="B90" s="93"/>
      <c r="C90" s="93"/>
      <c r="D90" s="93"/>
      <c r="E90" s="93"/>
      <c r="F90" s="93"/>
    </row>
    <row r="91" spans="1:6" x14ac:dyDescent="0.3">
      <c r="A91" s="104" t="s">
        <v>286</v>
      </c>
      <c r="B91" s="93"/>
      <c r="C91" s="93"/>
      <c r="D91" s="93"/>
      <c r="E91" s="93"/>
      <c r="F91" s="93"/>
    </row>
    <row r="92" spans="1:6" x14ac:dyDescent="0.3">
      <c r="A92" t="s">
        <v>280</v>
      </c>
      <c r="B92" s="100">
        <v>0.7</v>
      </c>
      <c r="C92" s="100">
        <v>0.71</v>
      </c>
      <c r="D92" s="100">
        <v>0.72</v>
      </c>
      <c r="E92" s="100">
        <v>0.73</v>
      </c>
      <c r="F92" s="100">
        <v>0.74</v>
      </c>
    </row>
    <row r="93" spans="1:6" x14ac:dyDescent="0.3">
      <c r="A93" t="s">
        <v>281</v>
      </c>
      <c r="B93" s="101">
        <f>B92+5%</f>
        <v>0.75</v>
      </c>
      <c r="C93" s="101">
        <f t="shared" ref="C93:F93" si="9">C92+5%</f>
        <v>0.76</v>
      </c>
      <c r="D93" s="101">
        <f t="shared" si="9"/>
        <v>0.77</v>
      </c>
      <c r="E93" s="101">
        <f t="shared" si="9"/>
        <v>0.78</v>
      </c>
      <c r="F93" s="101">
        <f t="shared" si="9"/>
        <v>0.79</v>
      </c>
    </row>
    <row r="94" spans="1:6" x14ac:dyDescent="0.3">
      <c r="A94" t="s">
        <v>282</v>
      </c>
      <c r="B94" s="101">
        <f>B92-5%</f>
        <v>0.64999999999999991</v>
      </c>
      <c r="C94" s="101">
        <f t="shared" ref="C94:F94" si="10">C92-5%</f>
        <v>0.65999999999999992</v>
      </c>
      <c r="D94" s="101">
        <f t="shared" si="10"/>
        <v>0.66999999999999993</v>
      </c>
      <c r="E94" s="101">
        <f t="shared" si="10"/>
        <v>0.67999999999999994</v>
      </c>
      <c r="F94" s="101">
        <f t="shared" si="10"/>
        <v>0.69</v>
      </c>
    </row>
  </sheetData>
  <mergeCells count="5">
    <mergeCell ref="A35:A39"/>
    <mergeCell ref="C33:G33"/>
    <mergeCell ref="A33:A34"/>
    <mergeCell ref="B55:F55"/>
    <mergeCell ref="A55:A56"/>
  </mergeCells>
  <dataValidations count="1">
    <dataValidation type="list" allowBlank="1" showInputMessage="1" showErrorMessage="1" sqref="B43" xr:uid="{80E97CE1-F1B5-4671-8C3B-2B6094191476}">
      <formula1>"Base,Bull,Bear,(select)"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6"/>
  <sheetViews>
    <sheetView showGridLines="0" topLeftCell="A5" workbookViewId="0">
      <selection activeCell="E22" sqref="E22"/>
    </sheetView>
  </sheetViews>
  <sheetFormatPr defaultRowHeight="14.4" x14ac:dyDescent="0.3"/>
  <cols>
    <col min="1" max="1" width="42" customWidth="1"/>
    <col min="2" max="2" width="18.77734375" bestFit="1" customWidth="1"/>
    <col min="3" max="6" width="16" customWidth="1"/>
  </cols>
  <sheetData>
    <row r="1" spans="1:14" ht="17.399999999999999" x14ac:dyDescent="0.3">
      <c r="A1" s="1" t="s">
        <v>274</v>
      </c>
    </row>
    <row r="3" spans="1:14" x14ac:dyDescent="0.3">
      <c r="A3" s="5" t="s">
        <v>185</v>
      </c>
    </row>
    <row r="4" spans="1:14" x14ac:dyDescent="0.3">
      <c r="K4" s="33"/>
      <c r="L4" s="33"/>
      <c r="M4" s="34"/>
      <c r="N4" s="34"/>
    </row>
    <row r="5" spans="1:14" ht="40.200000000000003" x14ac:dyDescent="0.3">
      <c r="A5" s="76" t="s">
        <v>186</v>
      </c>
      <c r="B5" s="77" t="s">
        <v>187</v>
      </c>
      <c r="C5" s="77" t="s">
        <v>188</v>
      </c>
      <c r="D5" s="77" t="s">
        <v>189</v>
      </c>
      <c r="E5" s="77" t="s">
        <v>190</v>
      </c>
      <c r="F5" s="78" t="s">
        <v>191</v>
      </c>
      <c r="K5" s="35"/>
      <c r="L5" s="36"/>
      <c r="M5" s="37"/>
      <c r="N5" s="38"/>
    </row>
    <row r="6" spans="1:14" x14ac:dyDescent="0.3">
      <c r="A6" s="79" t="s">
        <v>119</v>
      </c>
      <c r="B6" s="59">
        <f>Assumptions!B110</f>
        <v>0.23</v>
      </c>
      <c r="C6" s="80">
        <v>2300000</v>
      </c>
      <c r="D6" s="80"/>
      <c r="E6" s="80">
        <f>C6</f>
        <v>2300000</v>
      </c>
      <c r="F6" s="81">
        <f>E6/$E$16</f>
        <v>0.17864077669902911</v>
      </c>
      <c r="K6" s="35"/>
      <c r="L6" s="36"/>
      <c r="M6" s="37"/>
      <c r="N6" s="38"/>
    </row>
    <row r="7" spans="1:14" x14ac:dyDescent="0.3">
      <c r="A7" s="79" t="s">
        <v>120</v>
      </c>
      <c r="B7" s="59">
        <f>Assumptions!B111</f>
        <v>0.19</v>
      </c>
      <c r="C7" s="80">
        <v>1900000</v>
      </c>
      <c r="D7" s="80"/>
      <c r="E7" s="80">
        <f t="shared" ref="E7:E13" si="0">C7</f>
        <v>1900000</v>
      </c>
      <c r="F7" s="81">
        <f t="shared" ref="F7:F15" si="1">E7/$E$16</f>
        <v>0.14757281553398058</v>
      </c>
      <c r="K7" s="35"/>
      <c r="L7" s="36"/>
      <c r="M7" s="37"/>
      <c r="N7" s="38"/>
    </row>
    <row r="8" spans="1:14" x14ac:dyDescent="0.3">
      <c r="A8" s="79" t="s">
        <v>121</v>
      </c>
      <c r="B8" s="59">
        <f>Assumptions!B112</f>
        <v>0.13</v>
      </c>
      <c r="C8" s="80">
        <v>1300000</v>
      </c>
      <c r="D8" s="80"/>
      <c r="E8" s="80">
        <f t="shared" si="0"/>
        <v>1300000</v>
      </c>
      <c r="F8" s="81">
        <f t="shared" si="1"/>
        <v>0.10097087378640776</v>
      </c>
      <c r="K8" s="35"/>
      <c r="L8" s="36"/>
      <c r="M8" s="37"/>
      <c r="N8" s="38"/>
    </row>
    <row r="9" spans="1:14" x14ac:dyDescent="0.3">
      <c r="A9" s="79" t="s">
        <v>122</v>
      </c>
      <c r="B9" s="59">
        <f>Assumptions!B113</f>
        <v>0.1</v>
      </c>
      <c r="C9" s="80">
        <v>1000000</v>
      </c>
      <c r="D9" s="80"/>
      <c r="E9" s="80">
        <f t="shared" si="0"/>
        <v>1000000</v>
      </c>
      <c r="F9" s="81">
        <f t="shared" si="1"/>
        <v>7.7669902912621352E-2</v>
      </c>
      <c r="K9" s="35"/>
      <c r="L9" s="36"/>
      <c r="M9" s="37"/>
      <c r="N9" s="38"/>
    </row>
    <row r="10" spans="1:14" x14ac:dyDescent="0.3">
      <c r="A10" s="79" t="s">
        <v>123</v>
      </c>
      <c r="B10" s="59">
        <f>Assumptions!B114</f>
        <v>4.4999999999999998E-2</v>
      </c>
      <c r="C10" s="80">
        <v>450000</v>
      </c>
      <c r="D10" s="80"/>
      <c r="E10" s="80">
        <f t="shared" si="0"/>
        <v>450000</v>
      </c>
      <c r="F10" s="81">
        <f t="shared" si="1"/>
        <v>3.4951456310679613E-2</v>
      </c>
      <c r="K10" s="35"/>
      <c r="L10" s="36"/>
      <c r="M10" s="37"/>
      <c r="N10" s="38"/>
    </row>
    <row r="11" spans="1:14" x14ac:dyDescent="0.3">
      <c r="A11" s="79" t="s">
        <v>124</v>
      </c>
      <c r="B11" s="59">
        <f>Assumptions!B115</f>
        <v>0.125</v>
      </c>
      <c r="C11" s="80">
        <v>1250000</v>
      </c>
      <c r="D11" s="80"/>
      <c r="E11" s="80">
        <f t="shared" si="0"/>
        <v>1250000</v>
      </c>
      <c r="F11" s="81">
        <f t="shared" si="1"/>
        <v>9.7087378640776698E-2</v>
      </c>
      <c r="K11" s="35"/>
      <c r="L11" s="36"/>
      <c r="M11" s="37"/>
      <c r="N11" s="38"/>
    </row>
    <row r="12" spans="1:14" x14ac:dyDescent="0.3">
      <c r="A12" s="79" t="s">
        <v>125</v>
      </c>
      <c r="B12" s="59">
        <f>Assumptions!B116</f>
        <v>0.15</v>
      </c>
      <c r="C12" s="80">
        <v>1500000</v>
      </c>
      <c r="D12" s="80"/>
      <c r="E12" s="80">
        <f t="shared" si="0"/>
        <v>1500000</v>
      </c>
      <c r="F12" s="81">
        <f t="shared" si="1"/>
        <v>0.11650485436893204</v>
      </c>
      <c r="K12" s="35"/>
      <c r="L12" s="36"/>
      <c r="M12" s="37"/>
      <c r="N12" s="38"/>
    </row>
    <row r="13" spans="1:14" x14ac:dyDescent="0.3">
      <c r="A13" s="79" t="s">
        <v>126</v>
      </c>
      <c r="B13" s="59">
        <f>Assumptions!B117</f>
        <v>0.03</v>
      </c>
      <c r="C13" s="80">
        <v>300000</v>
      </c>
      <c r="D13" s="80"/>
      <c r="E13" s="80">
        <f t="shared" si="0"/>
        <v>300000</v>
      </c>
      <c r="F13" s="81">
        <f t="shared" si="1"/>
        <v>2.3300970873786409E-2</v>
      </c>
      <c r="K13" s="35"/>
      <c r="L13" s="36"/>
      <c r="M13" s="37"/>
      <c r="N13" s="39"/>
    </row>
    <row r="14" spans="1:14" x14ac:dyDescent="0.3">
      <c r="A14" s="79" t="s">
        <v>192</v>
      </c>
      <c r="B14" s="59"/>
      <c r="C14" s="80"/>
      <c r="D14" s="80">
        <f>C16*3%</f>
        <v>300000</v>
      </c>
      <c r="E14" s="80">
        <f>C16*3%</f>
        <v>300000</v>
      </c>
      <c r="F14" s="81">
        <f t="shared" si="1"/>
        <v>2.3300970873786409E-2</v>
      </c>
    </row>
    <row r="15" spans="1:14" x14ac:dyDescent="0.3">
      <c r="A15" s="79" t="s">
        <v>193</v>
      </c>
      <c r="B15" s="59"/>
      <c r="C15" s="80"/>
      <c r="D15" s="80">
        <f>B25</f>
        <v>2575000</v>
      </c>
      <c r="E15" s="80">
        <f>B25</f>
        <v>2575000</v>
      </c>
      <c r="F15" s="81">
        <f t="shared" si="1"/>
        <v>0.2</v>
      </c>
    </row>
    <row r="16" spans="1:14" x14ac:dyDescent="0.3">
      <c r="A16" s="82" t="s">
        <v>127</v>
      </c>
      <c r="B16" s="83">
        <f>SUM(B6:B15)</f>
        <v>1</v>
      </c>
      <c r="C16" s="84">
        <f>SUM(C6:C15)</f>
        <v>10000000</v>
      </c>
      <c r="D16" s="85"/>
      <c r="E16" s="85">
        <f>SUM(E6:E15)</f>
        <v>12875000</v>
      </c>
      <c r="F16" s="86">
        <f>SUM(F6:F15)</f>
        <v>0.99999999999999978</v>
      </c>
    </row>
    <row r="19" spans="1:6" s="41" customFormat="1" x14ac:dyDescent="0.3">
      <c r="A19" s="45" t="s">
        <v>250</v>
      </c>
      <c r="B19" s="46"/>
      <c r="C19" s="46"/>
      <c r="D19" s="46"/>
      <c r="E19" s="46"/>
      <c r="F19" s="46"/>
    </row>
    <row r="20" spans="1:6" x14ac:dyDescent="0.3">
      <c r="A20" s="70" t="s">
        <v>204</v>
      </c>
      <c r="B20" s="71" t="s">
        <v>255</v>
      </c>
    </row>
    <row r="21" spans="1:6" x14ac:dyDescent="0.3">
      <c r="A21" s="72" t="s">
        <v>251</v>
      </c>
      <c r="B21" s="73">
        <f>Valuation!B28*10000000</f>
        <v>5600000000</v>
      </c>
    </row>
    <row r="22" spans="1:6" x14ac:dyDescent="0.3">
      <c r="A22" s="72" t="s">
        <v>252</v>
      </c>
      <c r="B22" s="73">
        <f>C16+E14</f>
        <v>10300000</v>
      </c>
    </row>
    <row r="23" spans="1:6" x14ac:dyDescent="0.3">
      <c r="A23" s="72" t="s">
        <v>253</v>
      </c>
      <c r="B23" s="87">
        <f>B21/B22</f>
        <v>543.68932038834953</v>
      </c>
    </row>
    <row r="24" spans="1:6" x14ac:dyDescent="0.3">
      <c r="A24" s="72" t="s">
        <v>254</v>
      </c>
      <c r="B24" s="73">
        <v>1400000000</v>
      </c>
    </row>
    <row r="25" spans="1:6" x14ac:dyDescent="0.3">
      <c r="A25" s="74" t="s">
        <v>256</v>
      </c>
      <c r="B25" s="75">
        <f>B24/B23</f>
        <v>2575000</v>
      </c>
    </row>
    <row r="26" spans="1:6" x14ac:dyDescent="0.3">
      <c r="B26" s="31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13"/>
  <sheetViews>
    <sheetView showGridLines="0" topLeftCell="A4" workbookViewId="0">
      <selection activeCell="E8" sqref="E8"/>
    </sheetView>
  </sheetViews>
  <sheetFormatPr defaultRowHeight="14.4" x14ac:dyDescent="0.3"/>
  <cols>
    <col min="1" max="1" width="28.44140625" customWidth="1"/>
    <col min="2" max="2" width="88.21875" bestFit="1" customWidth="1"/>
    <col min="3" max="3" width="16.109375" bestFit="1" customWidth="1"/>
  </cols>
  <sheetData>
    <row r="1" spans="1:3" ht="17.399999999999999" x14ac:dyDescent="0.3">
      <c r="A1" s="1" t="s">
        <v>275</v>
      </c>
    </row>
    <row r="3" spans="1:3" x14ac:dyDescent="0.3">
      <c r="A3" s="5" t="s">
        <v>194</v>
      </c>
    </row>
    <row r="5" spans="1:3" x14ac:dyDescent="0.3">
      <c r="A5" s="15" t="s">
        <v>195</v>
      </c>
      <c r="B5" s="15" t="s">
        <v>196</v>
      </c>
      <c r="C5" s="15" t="s">
        <v>197</v>
      </c>
    </row>
    <row r="6" spans="1:3" ht="72" x14ac:dyDescent="0.3">
      <c r="A6" s="40" t="s">
        <v>198</v>
      </c>
      <c r="B6" s="61" t="s">
        <v>257</v>
      </c>
      <c r="C6" s="62">
        <v>785541</v>
      </c>
    </row>
    <row r="7" spans="1:3" ht="43.2" x14ac:dyDescent="0.3">
      <c r="A7" s="40" t="s">
        <v>199</v>
      </c>
      <c r="B7" s="61" t="s">
        <v>258</v>
      </c>
      <c r="C7" s="62">
        <v>860000</v>
      </c>
    </row>
    <row r="8" spans="1:3" ht="86.4" x14ac:dyDescent="0.3">
      <c r="A8" s="40" t="s">
        <v>200</v>
      </c>
      <c r="B8" s="61" t="s">
        <v>259</v>
      </c>
      <c r="C8" s="62">
        <v>672000</v>
      </c>
    </row>
    <row r="9" spans="1:3" ht="57.6" x14ac:dyDescent="0.3">
      <c r="A9" s="40" t="s">
        <v>201</v>
      </c>
      <c r="B9" s="61" t="s">
        <v>260</v>
      </c>
      <c r="C9" s="62">
        <v>1979</v>
      </c>
    </row>
    <row r="10" spans="1:3" x14ac:dyDescent="0.3">
      <c r="A10" s="47" t="s">
        <v>276</v>
      </c>
    </row>
    <row r="12" spans="1:3" x14ac:dyDescent="0.3">
      <c r="A12" s="5" t="s">
        <v>202</v>
      </c>
    </row>
    <row r="13" spans="1:3" x14ac:dyDescent="0.3">
      <c r="A13" s="5" t="s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Cover</vt:lpstr>
      <vt:lpstr>Assumptions</vt:lpstr>
      <vt:lpstr>Revenue Build</vt:lpstr>
      <vt:lpstr>Income Statement</vt:lpstr>
      <vt:lpstr>Depreciation Schedule</vt:lpstr>
      <vt:lpstr>Loan Schedule</vt:lpstr>
      <vt:lpstr>Working Capital Schedule</vt:lpstr>
      <vt:lpstr>Balance Sheet</vt:lpstr>
      <vt:lpstr>Cash Flow</vt:lpstr>
      <vt:lpstr>WACC</vt:lpstr>
      <vt:lpstr>Valuation</vt:lpstr>
      <vt:lpstr>Cap Table</vt:lpstr>
      <vt:lpstr>TAM SAM SOM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Harshavardhaan Chandrasekaran</cp:lastModifiedBy>
  <dcterms:created xsi:type="dcterms:W3CDTF">2026-08-22T02:18:49Z</dcterms:created>
  <dcterms:modified xsi:type="dcterms:W3CDTF">2026-08-24T11:23:50Z</dcterms:modified>
</cp:coreProperties>
</file>